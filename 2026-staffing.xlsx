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munday/Documents/FTE-Scheduler/"/>
    </mc:Choice>
  </mc:AlternateContent>
  <xr:revisionPtr revIDLastSave="0" documentId="8_{7618BEDA-D341-D44E-90F3-C5EEBC4FE4A9}" xr6:coauthVersionLast="47" xr6:coauthVersionMax="47" xr10:uidLastSave="{00000000-0000-0000-0000-000000000000}"/>
  <bookViews>
    <workbookView xWindow="38300" yWindow="600" windowWidth="26940" windowHeight="24280" xr2:uid="{00000000-000D-0000-FFFF-FFFF00000000}"/>
  </bookViews>
  <sheets>
    <sheet name="MD Staffing Gri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63" i="1" l="1"/>
  <c r="CS63" i="1"/>
  <c r="CT63" i="1"/>
  <c r="CU63" i="1"/>
  <c r="CV63" i="1"/>
  <c r="CW63" i="1"/>
  <c r="CX63" i="1"/>
  <c r="CY63" i="1"/>
  <c r="CZ63" i="1"/>
  <c r="DA63" i="1"/>
  <c r="DB63" i="1"/>
  <c r="CQ63" i="1"/>
  <c r="W63" i="1"/>
  <c r="X63" i="1"/>
  <c r="Y63" i="1"/>
  <c r="Z63" i="1"/>
  <c r="AA63" i="1"/>
  <c r="V63" i="1"/>
  <c r="Q63" i="1"/>
  <c r="R63" i="1"/>
  <c r="S63" i="1"/>
  <c r="T63" i="1"/>
  <c r="U63" i="1"/>
  <c r="P63" i="1"/>
  <c r="BD63" i="1"/>
  <c r="BE63" i="1"/>
  <c r="BF63" i="1"/>
  <c r="BG63" i="1"/>
  <c r="BH63" i="1"/>
  <c r="BC63" i="1"/>
  <c r="AB81" i="1"/>
  <c r="O81" i="1"/>
  <c r="N81" i="1" s="1"/>
  <c r="M81" i="1"/>
  <c r="AJ50" i="1"/>
  <c r="AK50" i="1"/>
  <c r="AL50" i="1"/>
  <c r="AM50" i="1"/>
  <c r="AN50" i="1"/>
  <c r="AI50" i="1"/>
  <c r="M50" i="1"/>
  <c r="I50" i="1"/>
  <c r="T66" i="1"/>
  <c r="U66" i="1"/>
  <c r="V66" i="1"/>
  <c r="W66" i="1"/>
  <c r="X66" i="1"/>
  <c r="Y66" i="1"/>
  <c r="Z66" i="1"/>
  <c r="AA66" i="1"/>
  <c r="S66" i="1"/>
  <c r="DU66" i="1"/>
  <c r="DV66" i="1"/>
  <c r="DW66" i="1"/>
  <c r="DX66" i="1"/>
  <c r="DY66" i="1"/>
  <c r="DZ66" i="1"/>
  <c r="EA66" i="1"/>
  <c r="EB66" i="1"/>
  <c r="DT66" i="1"/>
  <c r="I81" i="1"/>
  <c r="J81" i="1" l="1"/>
  <c r="K81" i="1"/>
  <c r="K50" i="1"/>
  <c r="BQ52" i="1"/>
  <c r="BR52" i="1"/>
  <c r="BS52" i="1"/>
  <c r="BT52" i="1"/>
  <c r="BU52" i="1"/>
  <c r="BV52" i="1"/>
  <c r="BW52" i="1"/>
  <c r="BX52" i="1"/>
  <c r="BY52" i="1"/>
  <c r="BZ52" i="1"/>
  <c r="CA52" i="1"/>
  <c r="BP52" i="1"/>
  <c r="Q52" i="1"/>
  <c r="R52" i="1"/>
  <c r="S52" i="1"/>
  <c r="T52" i="1"/>
  <c r="U52" i="1"/>
  <c r="V52" i="1"/>
  <c r="W52" i="1"/>
  <c r="X52" i="1"/>
  <c r="Y52" i="1"/>
  <c r="Z52" i="1"/>
  <c r="AA52" i="1"/>
  <c r="P52" i="1"/>
  <c r="T40" i="1"/>
  <c r="U40" i="1"/>
  <c r="V40" i="1"/>
  <c r="W40" i="1"/>
  <c r="X40" i="1"/>
  <c r="Y40" i="1"/>
  <c r="Z40" i="1"/>
  <c r="AA40" i="1"/>
  <c r="S40" i="1"/>
  <c r="DU40" i="1"/>
  <c r="DV40" i="1"/>
  <c r="DW40" i="1"/>
  <c r="DX40" i="1"/>
  <c r="DY40" i="1"/>
  <c r="DZ40" i="1"/>
  <c r="EA40" i="1"/>
  <c r="EB40" i="1"/>
  <c r="DT40" i="1"/>
  <c r="BQ13" i="1"/>
  <c r="BR13" i="1"/>
  <c r="BS13" i="1"/>
  <c r="BT13" i="1"/>
  <c r="BU13" i="1"/>
  <c r="BV13" i="1"/>
  <c r="BW13" i="1"/>
  <c r="BX13" i="1"/>
  <c r="BY13" i="1"/>
  <c r="BZ13" i="1"/>
  <c r="CA13" i="1"/>
  <c r="BP13" i="1"/>
  <c r="Q13" i="1"/>
  <c r="R13" i="1"/>
  <c r="S13" i="1"/>
  <c r="T13" i="1"/>
  <c r="U13" i="1"/>
  <c r="V13" i="1"/>
  <c r="W13" i="1"/>
  <c r="X13" i="1"/>
  <c r="Y13" i="1"/>
  <c r="Z13" i="1"/>
  <c r="AA13" i="1"/>
  <c r="P13" i="1"/>
  <c r="DR11" i="1"/>
  <c r="DS11" i="1"/>
  <c r="DT11" i="1"/>
  <c r="DU11" i="1"/>
  <c r="DV11" i="1"/>
  <c r="DW11" i="1"/>
  <c r="DX11" i="1"/>
  <c r="DY11" i="1"/>
  <c r="DZ11" i="1"/>
  <c r="EA11" i="1"/>
  <c r="EB11" i="1"/>
  <c r="DQ11" i="1"/>
  <c r="Q11" i="1"/>
  <c r="R11" i="1"/>
  <c r="S11" i="1"/>
  <c r="T11" i="1"/>
  <c r="U11" i="1"/>
  <c r="V11" i="1"/>
  <c r="W11" i="1"/>
  <c r="X11" i="1"/>
  <c r="Y11" i="1"/>
  <c r="Z11" i="1"/>
  <c r="AA11" i="1"/>
  <c r="P11" i="1"/>
  <c r="A81" i="1" a="1"/>
  <c r="A81" i="1" s="1"/>
  <c r="W31" i="1"/>
  <c r="X31" i="1"/>
  <c r="Y31" i="1"/>
  <c r="Z31" i="1"/>
  <c r="AA31" i="1"/>
  <c r="V31" i="1"/>
  <c r="AM89" i="1"/>
  <c r="AN89" i="1"/>
  <c r="AL89" i="1"/>
  <c r="AK89" i="1"/>
  <c r="AH89" i="1"/>
  <c r="AG89" i="1"/>
  <c r="AF89" i="1"/>
  <c r="AE89" i="1"/>
  <c r="AD89" i="1"/>
  <c r="AC89" i="1"/>
  <c r="AI89" i="1"/>
  <c r="AJ89" i="1"/>
  <c r="AA89" i="1"/>
  <c r="Z89" i="1"/>
  <c r="Y89" i="1"/>
  <c r="X89" i="1"/>
  <c r="W89" i="1"/>
  <c r="V89" i="1"/>
  <c r="U89" i="1"/>
  <c r="T89" i="1"/>
  <c r="S89" i="1"/>
  <c r="R89" i="1"/>
  <c r="Q89" i="1"/>
  <c r="P89" i="1"/>
  <c r="EB31" i="1"/>
  <c r="EA31" i="1"/>
  <c r="DZ31" i="1"/>
  <c r="DY31" i="1"/>
  <c r="DX31" i="1"/>
  <c r="DW31" i="1"/>
  <c r="A2" i="1" a="1"/>
  <c r="A2" i="1" s="1"/>
  <c r="EE55" i="1"/>
  <c r="EF55" i="1"/>
  <c r="EG55" i="1"/>
  <c r="EH55" i="1"/>
  <c r="EI55" i="1"/>
  <c r="EJ55" i="1"/>
  <c r="EK55" i="1"/>
  <c r="EL55" i="1"/>
  <c r="EM55" i="1"/>
  <c r="EN55" i="1"/>
  <c r="EO55" i="1"/>
  <c r="ED55" i="1"/>
  <c r="Q10" i="1" l="1"/>
  <c r="R10" i="1"/>
  <c r="S10" i="1"/>
  <c r="T10" i="1"/>
  <c r="U10" i="1"/>
  <c r="V10" i="1"/>
  <c r="W10" i="1"/>
  <c r="X10" i="1"/>
  <c r="Y10" i="1"/>
  <c r="Z10" i="1"/>
  <c r="AA10" i="1"/>
  <c r="P10" i="1"/>
  <c r="Q6" i="1"/>
  <c r="R6" i="1"/>
  <c r="S6" i="1"/>
  <c r="T6" i="1"/>
  <c r="U6" i="1"/>
  <c r="V6" i="1"/>
  <c r="W6" i="1"/>
  <c r="X6" i="1"/>
  <c r="Y6" i="1"/>
  <c r="Z6" i="1"/>
  <c r="AA6" i="1"/>
  <c r="P6" i="1"/>
  <c r="Q49" i="1"/>
  <c r="R49" i="1"/>
  <c r="S49" i="1"/>
  <c r="T49" i="1"/>
  <c r="U49" i="1"/>
  <c r="V49" i="1"/>
  <c r="W49" i="1"/>
  <c r="X49" i="1"/>
  <c r="Y49" i="1"/>
  <c r="Z49" i="1"/>
  <c r="AA49" i="1"/>
  <c r="P49" i="1"/>
  <c r="Q48" i="1"/>
  <c r="R48" i="1"/>
  <c r="S48" i="1"/>
  <c r="T48" i="1"/>
  <c r="U48" i="1"/>
  <c r="V48" i="1"/>
  <c r="W48" i="1"/>
  <c r="X48" i="1"/>
  <c r="Y48" i="1"/>
  <c r="Z48" i="1"/>
  <c r="AA48" i="1"/>
  <c r="P48" i="1"/>
  <c r="Q44" i="1"/>
  <c r="R44" i="1"/>
  <c r="S44" i="1"/>
  <c r="T44" i="1"/>
  <c r="U44" i="1"/>
  <c r="V44" i="1"/>
  <c r="W44" i="1"/>
  <c r="X44" i="1"/>
  <c r="Y44" i="1"/>
  <c r="Z44" i="1"/>
  <c r="AA44" i="1"/>
  <c r="P44" i="1"/>
  <c r="Q24" i="1"/>
  <c r="R24" i="1"/>
  <c r="S24" i="1"/>
  <c r="T24" i="1"/>
  <c r="U24" i="1"/>
  <c r="V24" i="1"/>
  <c r="W24" i="1"/>
  <c r="X24" i="1"/>
  <c r="Y24" i="1"/>
  <c r="Z24" i="1"/>
  <c r="AA24" i="1"/>
  <c r="P24" i="1"/>
  <c r="Q30" i="1"/>
  <c r="R30" i="1"/>
  <c r="S30" i="1"/>
  <c r="T30" i="1"/>
  <c r="U30" i="1"/>
  <c r="P30" i="1"/>
  <c r="Q37" i="1"/>
  <c r="R37" i="1"/>
  <c r="S37" i="1"/>
  <c r="T37" i="1"/>
  <c r="U37" i="1"/>
  <c r="V37" i="1"/>
  <c r="W37" i="1"/>
  <c r="X37" i="1"/>
  <c r="Y37" i="1"/>
  <c r="Z37" i="1"/>
  <c r="AA37" i="1"/>
  <c r="P37" i="1"/>
  <c r="Q38" i="1"/>
  <c r="R38" i="1"/>
  <c r="S38" i="1"/>
  <c r="T38" i="1"/>
  <c r="U38" i="1"/>
  <c r="V38" i="1"/>
  <c r="W38" i="1"/>
  <c r="X38" i="1"/>
  <c r="Y38" i="1"/>
  <c r="Z38" i="1"/>
  <c r="AA38" i="1"/>
  <c r="P38" i="1"/>
  <c r="CD49" i="1"/>
  <c r="CE49" i="1"/>
  <c r="CF49" i="1"/>
  <c r="CG49" i="1"/>
  <c r="CH49" i="1"/>
  <c r="CI49" i="1"/>
  <c r="CJ49" i="1"/>
  <c r="CK49" i="1"/>
  <c r="CL49" i="1"/>
  <c r="CM49" i="1"/>
  <c r="CN49" i="1"/>
  <c r="CC49" i="1"/>
  <c r="CD48" i="1"/>
  <c r="CE48" i="1"/>
  <c r="CF48" i="1"/>
  <c r="CG48" i="1"/>
  <c r="CH48" i="1"/>
  <c r="CI48" i="1"/>
  <c r="CJ48" i="1"/>
  <c r="CK48" i="1"/>
  <c r="CL48" i="1"/>
  <c r="CM48" i="1"/>
  <c r="CN48" i="1"/>
  <c r="CC48" i="1"/>
  <c r="CD44" i="1"/>
  <c r="CE44" i="1"/>
  <c r="CF44" i="1"/>
  <c r="CG44" i="1"/>
  <c r="CH44" i="1"/>
  <c r="CI44" i="1"/>
  <c r="CJ44" i="1"/>
  <c r="CK44" i="1"/>
  <c r="CL44" i="1"/>
  <c r="CM44" i="1"/>
  <c r="CN44" i="1"/>
  <c r="CC44" i="1"/>
  <c r="CD38" i="1"/>
  <c r="CE38" i="1"/>
  <c r="CF38" i="1"/>
  <c r="CG38" i="1"/>
  <c r="CH38" i="1"/>
  <c r="CI38" i="1"/>
  <c r="CJ38" i="1"/>
  <c r="CK38" i="1"/>
  <c r="CL38" i="1"/>
  <c r="CM38" i="1"/>
  <c r="CN38" i="1"/>
  <c r="CC38" i="1"/>
  <c r="CD37" i="1"/>
  <c r="CE37" i="1"/>
  <c r="CF37" i="1"/>
  <c r="CG37" i="1"/>
  <c r="CH37" i="1"/>
  <c r="CI37" i="1"/>
  <c r="CJ37" i="1"/>
  <c r="CK37" i="1"/>
  <c r="CL37" i="1"/>
  <c r="CM37" i="1"/>
  <c r="CN37" i="1"/>
  <c r="CC37" i="1"/>
  <c r="CD30" i="1"/>
  <c r="CE30" i="1"/>
  <c r="CF30" i="1"/>
  <c r="CG30" i="1"/>
  <c r="CH30" i="1"/>
  <c r="CC30" i="1"/>
  <c r="CD24" i="1"/>
  <c r="CE24" i="1"/>
  <c r="CF24" i="1"/>
  <c r="CG24" i="1"/>
  <c r="CH24" i="1"/>
  <c r="CI24" i="1"/>
  <c r="CJ24" i="1"/>
  <c r="CK24" i="1"/>
  <c r="CL24" i="1"/>
  <c r="CM24" i="1"/>
  <c r="CN24" i="1"/>
  <c r="CC24" i="1"/>
  <c r="CD10" i="1"/>
  <c r="CE10" i="1"/>
  <c r="CF10" i="1"/>
  <c r="CG10" i="1"/>
  <c r="CH10" i="1"/>
  <c r="CI10" i="1"/>
  <c r="CJ10" i="1"/>
  <c r="CK10" i="1"/>
  <c r="CL10" i="1"/>
  <c r="CM10" i="1"/>
  <c r="CN10" i="1"/>
  <c r="CC10" i="1"/>
  <c r="CD6" i="1"/>
  <c r="CE6" i="1"/>
  <c r="CF6" i="1"/>
  <c r="CG6" i="1"/>
  <c r="CH6" i="1"/>
  <c r="CI6" i="1"/>
  <c r="CJ6" i="1"/>
  <c r="CK6" i="1"/>
  <c r="CL6" i="1"/>
  <c r="CM6" i="1"/>
  <c r="CN6" i="1"/>
  <c r="CC6" i="1"/>
  <c r="Q55" i="1"/>
  <c r="R55" i="1"/>
  <c r="S55" i="1"/>
  <c r="T55" i="1"/>
  <c r="U55" i="1"/>
  <c r="V55" i="1"/>
  <c r="W55" i="1"/>
  <c r="X55" i="1"/>
  <c r="Y55" i="1"/>
  <c r="Z55" i="1"/>
  <c r="AA55" i="1"/>
  <c r="P55" i="1"/>
  <c r="T46" i="1"/>
  <c r="U46" i="1"/>
  <c r="V46" i="1"/>
  <c r="W46" i="1"/>
  <c r="X46" i="1"/>
  <c r="S46" i="1"/>
  <c r="CO43" i="1"/>
  <c r="EP50" i="1" l="1"/>
  <c r="EC50" i="1"/>
  <c r="DP50" i="1"/>
  <c r="DC50" i="1"/>
  <c r="CO50" i="1"/>
  <c r="CB50" i="1"/>
  <c r="BO50" i="1"/>
  <c r="BB50" i="1"/>
  <c r="AO50" i="1"/>
  <c r="AB50" i="1"/>
  <c r="Q60" i="1"/>
  <c r="R60" i="1"/>
  <c r="S60" i="1"/>
  <c r="T60" i="1"/>
  <c r="U60" i="1"/>
  <c r="V60" i="1"/>
  <c r="W60" i="1"/>
  <c r="X60" i="1"/>
  <c r="Y60" i="1"/>
  <c r="Z60" i="1"/>
  <c r="AA60" i="1"/>
  <c r="P60" i="1"/>
  <c r="Q58" i="1"/>
  <c r="R58" i="1"/>
  <c r="S58" i="1"/>
  <c r="T58" i="1"/>
  <c r="U58" i="1"/>
  <c r="V58" i="1"/>
  <c r="W58" i="1"/>
  <c r="X58" i="1"/>
  <c r="Y58" i="1"/>
  <c r="Z58" i="1"/>
  <c r="AA58" i="1"/>
  <c r="P58" i="1"/>
  <c r="CR58" i="1"/>
  <c r="CS58" i="1"/>
  <c r="CT58" i="1"/>
  <c r="CU58" i="1"/>
  <c r="CV58" i="1"/>
  <c r="CW58" i="1"/>
  <c r="CX58" i="1"/>
  <c r="CY58" i="1"/>
  <c r="CZ58" i="1"/>
  <c r="DA58" i="1"/>
  <c r="DB58" i="1"/>
  <c r="CQ58" i="1"/>
  <c r="Q51" i="1"/>
  <c r="R51" i="1"/>
  <c r="S51" i="1"/>
  <c r="T51" i="1"/>
  <c r="U51" i="1"/>
  <c r="V51" i="1"/>
  <c r="W51" i="1"/>
  <c r="X51" i="1"/>
  <c r="Y51" i="1"/>
  <c r="Z51" i="1"/>
  <c r="AA51" i="1"/>
  <c r="P51" i="1"/>
  <c r="Q46" i="1"/>
  <c r="R46" i="1"/>
  <c r="Y46" i="1"/>
  <c r="Z46" i="1"/>
  <c r="AA46" i="1"/>
  <c r="P46" i="1"/>
  <c r="Q42" i="1"/>
  <c r="R42" i="1"/>
  <c r="S42" i="1"/>
  <c r="T42" i="1"/>
  <c r="U42" i="1"/>
  <c r="V42" i="1"/>
  <c r="W42" i="1"/>
  <c r="X42" i="1"/>
  <c r="Y42" i="1"/>
  <c r="Z42" i="1"/>
  <c r="AA42" i="1"/>
  <c r="P42" i="1"/>
  <c r="Q41" i="1"/>
  <c r="R41" i="1"/>
  <c r="S41" i="1"/>
  <c r="T41" i="1"/>
  <c r="U41" i="1"/>
  <c r="V41" i="1"/>
  <c r="W41" i="1"/>
  <c r="X41" i="1"/>
  <c r="Y41" i="1"/>
  <c r="Z41" i="1"/>
  <c r="AA41" i="1"/>
  <c r="P41" i="1"/>
  <c r="Q39" i="1"/>
  <c r="R39" i="1"/>
  <c r="S39" i="1"/>
  <c r="T39" i="1"/>
  <c r="U39" i="1"/>
  <c r="V39" i="1"/>
  <c r="W39" i="1"/>
  <c r="X39" i="1"/>
  <c r="Y39" i="1"/>
  <c r="Z39" i="1"/>
  <c r="AA39" i="1"/>
  <c r="P39" i="1"/>
  <c r="Q17" i="1"/>
  <c r="R17" i="1"/>
  <c r="S17" i="1"/>
  <c r="T17" i="1"/>
  <c r="U17" i="1"/>
  <c r="V17" i="1"/>
  <c r="W17" i="1"/>
  <c r="X17" i="1"/>
  <c r="Y17" i="1"/>
  <c r="Z17" i="1"/>
  <c r="AA17" i="1"/>
  <c r="P17" i="1"/>
  <c r="AQ51" i="1"/>
  <c r="AR51" i="1"/>
  <c r="AS51" i="1"/>
  <c r="AT51" i="1"/>
  <c r="AU51" i="1"/>
  <c r="AV51" i="1"/>
  <c r="AW51" i="1"/>
  <c r="AX51" i="1"/>
  <c r="AY51" i="1"/>
  <c r="AZ51" i="1"/>
  <c r="BA51" i="1"/>
  <c r="AP51" i="1"/>
  <c r="AQ66" i="1"/>
  <c r="AR66" i="1"/>
  <c r="AS66" i="1"/>
  <c r="AT66" i="1"/>
  <c r="AU66" i="1"/>
  <c r="AV66" i="1"/>
  <c r="AW66" i="1"/>
  <c r="AX66" i="1"/>
  <c r="AY66" i="1"/>
  <c r="AZ66" i="1"/>
  <c r="BA66" i="1"/>
  <c r="AP66" i="1"/>
  <c r="AQ57" i="1"/>
  <c r="AR57" i="1"/>
  <c r="AS57" i="1"/>
  <c r="AT57" i="1"/>
  <c r="AU57" i="1"/>
  <c r="AV57" i="1"/>
  <c r="AW57" i="1"/>
  <c r="AX57" i="1"/>
  <c r="AY57" i="1"/>
  <c r="AZ57" i="1"/>
  <c r="BA57" i="1"/>
  <c r="AP57" i="1"/>
  <c r="BQ60" i="1"/>
  <c r="BR60" i="1"/>
  <c r="BS60" i="1"/>
  <c r="BT60" i="1"/>
  <c r="BU60" i="1"/>
  <c r="BV60" i="1"/>
  <c r="BW60" i="1"/>
  <c r="BX60" i="1"/>
  <c r="BY60" i="1"/>
  <c r="BZ60" i="1"/>
  <c r="CA60" i="1"/>
  <c r="BP60" i="1"/>
  <c r="BQ51" i="1"/>
  <c r="BR51" i="1"/>
  <c r="BS51" i="1"/>
  <c r="BT51" i="1"/>
  <c r="BU51" i="1"/>
  <c r="BV51" i="1"/>
  <c r="BW51" i="1"/>
  <c r="BX51" i="1"/>
  <c r="BY51" i="1"/>
  <c r="BZ51" i="1"/>
  <c r="CA51" i="1"/>
  <c r="BP51" i="1"/>
  <c r="BQ48" i="1"/>
  <c r="BR48" i="1"/>
  <c r="BS48" i="1"/>
  <c r="BT48" i="1"/>
  <c r="BU48" i="1"/>
  <c r="BV48" i="1"/>
  <c r="BW48" i="1"/>
  <c r="BX48" i="1"/>
  <c r="BY48" i="1"/>
  <c r="BZ48" i="1"/>
  <c r="CA48" i="1"/>
  <c r="BP48" i="1"/>
  <c r="BQ42" i="1"/>
  <c r="BR42" i="1"/>
  <c r="BS42" i="1"/>
  <c r="BT42" i="1"/>
  <c r="BU42" i="1"/>
  <c r="BV42" i="1"/>
  <c r="BW42" i="1"/>
  <c r="BX42" i="1"/>
  <c r="BY42" i="1"/>
  <c r="BZ42" i="1"/>
  <c r="CA42" i="1"/>
  <c r="BP42" i="1"/>
  <c r="BQ41" i="1"/>
  <c r="BR41" i="1"/>
  <c r="BS41" i="1"/>
  <c r="BT41" i="1"/>
  <c r="BU41" i="1"/>
  <c r="BV41" i="1"/>
  <c r="BW41" i="1"/>
  <c r="BX41" i="1"/>
  <c r="BY41" i="1"/>
  <c r="BZ41" i="1"/>
  <c r="CA41" i="1"/>
  <c r="BP41" i="1"/>
  <c r="BQ17" i="1"/>
  <c r="BR17" i="1"/>
  <c r="BS17" i="1"/>
  <c r="BT17" i="1"/>
  <c r="BU17" i="1"/>
  <c r="BV17" i="1"/>
  <c r="BW17" i="1"/>
  <c r="BX17" i="1"/>
  <c r="BY17" i="1"/>
  <c r="BZ17" i="1"/>
  <c r="CA17" i="1"/>
  <c r="BP17" i="1"/>
  <c r="BD38" i="1"/>
  <c r="BE38" i="1"/>
  <c r="BF38" i="1"/>
  <c r="BG38" i="1"/>
  <c r="BH38" i="1"/>
  <c r="BI38" i="1"/>
  <c r="BJ38" i="1"/>
  <c r="BK38" i="1"/>
  <c r="BL38" i="1"/>
  <c r="BM38" i="1"/>
  <c r="BN38" i="1"/>
  <c r="BC38" i="1"/>
  <c r="BD24" i="1"/>
  <c r="BE24" i="1"/>
  <c r="BF24" i="1"/>
  <c r="BG24" i="1"/>
  <c r="BH24" i="1"/>
  <c r="BI24" i="1"/>
  <c r="BJ24" i="1"/>
  <c r="BK24" i="1"/>
  <c r="BL24" i="1"/>
  <c r="BM24" i="1"/>
  <c r="BN24" i="1"/>
  <c r="BC24" i="1"/>
  <c r="CR46" i="1"/>
  <c r="CS46" i="1"/>
  <c r="CT46" i="1"/>
  <c r="CU46" i="1"/>
  <c r="CV46" i="1"/>
  <c r="CW46" i="1"/>
  <c r="CX46" i="1"/>
  <c r="CY46" i="1"/>
  <c r="CZ46" i="1"/>
  <c r="DA46" i="1"/>
  <c r="DB46" i="1"/>
  <c r="CQ46" i="1"/>
  <c r="BD39" i="1"/>
  <c r="BE39" i="1"/>
  <c r="BF39" i="1"/>
  <c r="BG39" i="1"/>
  <c r="BH39" i="1"/>
  <c r="BI39" i="1"/>
  <c r="BJ39" i="1"/>
  <c r="BK39" i="1"/>
  <c r="BL39" i="1"/>
  <c r="BM39" i="1"/>
  <c r="BN39" i="1"/>
  <c r="BC39" i="1"/>
  <c r="BD46" i="1"/>
  <c r="BE46" i="1"/>
  <c r="BF46" i="1"/>
  <c r="BG46" i="1"/>
  <c r="BH46" i="1"/>
  <c r="BI46" i="1"/>
  <c r="BJ46" i="1"/>
  <c r="BK46" i="1"/>
  <c r="BL46" i="1"/>
  <c r="BM46" i="1"/>
  <c r="BN46" i="1"/>
  <c r="BC46" i="1"/>
  <c r="Q56" i="1"/>
  <c r="R56" i="1"/>
  <c r="S56" i="1"/>
  <c r="T56" i="1"/>
  <c r="U56" i="1"/>
  <c r="V56" i="1"/>
  <c r="W56" i="1"/>
  <c r="X56" i="1"/>
  <c r="Y56" i="1"/>
  <c r="Z56" i="1"/>
  <c r="AA56" i="1"/>
  <c r="P56" i="1"/>
  <c r="BD56" i="1"/>
  <c r="BE56" i="1"/>
  <c r="BF56" i="1"/>
  <c r="BG56" i="1"/>
  <c r="BH56" i="1"/>
  <c r="BI56" i="1"/>
  <c r="BJ56" i="1"/>
  <c r="BK56" i="1"/>
  <c r="BL56" i="1"/>
  <c r="BM56" i="1"/>
  <c r="BN56" i="1"/>
  <c r="BC56" i="1"/>
  <c r="W77" i="1"/>
  <c r="X77" i="1"/>
  <c r="Y77" i="1"/>
  <c r="Z77" i="1"/>
  <c r="AA77" i="1"/>
  <c r="V77" i="1"/>
  <c r="Q80" i="1"/>
  <c r="R80" i="1"/>
  <c r="S80" i="1"/>
  <c r="T80" i="1"/>
  <c r="U80" i="1"/>
  <c r="V80" i="1"/>
  <c r="W80" i="1"/>
  <c r="X80" i="1"/>
  <c r="Y80" i="1"/>
  <c r="Z80" i="1"/>
  <c r="AA80" i="1"/>
  <c r="P80" i="1"/>
  <c r="Q78" i="1"/>
  <c r="R78" i="1"/>
  <c r="S78" i="1"/>
  <c r="T78" i="1"/>
  <c r="U78" i="1"/>
  <c r="P78" i="1"/>
  <c r="A75" i="1" a="1"/>
  <c r="A80" i="1" a="1"/>
  <c r="A76" i="1" a="1"/>
  <c r="A82" i="1" a="1"/>
  <c r="A74" i="1" a="1"/>
  <c r="A79" i="1" a="1"/>
  <c r="A3" i="1" a="1"/>
  <c r="A4" i="1" a="1"/>
  <c r="A77" i="1" a="1"/>
  <c r="A83" i="1" a="1"/>
  <c r="A78" i="1" a="1"/>
  <c r="A50" i="1" a="1"/>
  <c r="CP50" i="1" l="1"/>
  <c r="O50" i="1"/>
  <c r="A50" i="1"/>
  <c r="A78" i="1"/>
  <c r="A83" i="1"/>
  <c r="A77" i="1"/>
  <c r="A4" i="1"/>
  <c r="A3" i="1"/>
  <c r="A79" i="1"/>
  <c r="A74" i="1"/>
  <c r="A82" i="1"/>
  <c r="A76" i="1"/>
  <c r="A80" i="1"/>
  <c r="A75" i="1"/>
  <c r="AB77" i="1"/>
  <c r="A57" i="1" a="1"/>
  <c r="A66" i="1" a="1"/>
  <c r="A42" i="1" a="1"/>
  <c r="A60" i="1" a="1"/>
  <c r="A28" i="1" a="1"/>
  <c r="A54" i="1" a="1"/>
  <c r="A30" i="1" a="1"/>
  <c r="A56" i="1" a="1"/>
  <c r="A64" i="1" a="1"/>
  <c r="A5" i="1" a="1"/>
  <c r="A6" i="1" a="1"/>
  <c r="A51" i="1" a="1"/>
  <c r="A68" i="1" a="1"/>
  <c r="A36" i="1" a="1"/>
  <c r="A62" i="1" a="1"/>
  <c r="A38" i="1" a="1"/>
  <c r="A12" i="1" a="1"/>
  <c r="A7" i="1" a="1"/>
  <c r="A11" i="1" a="1"/>
  <c r="A59" i="1" a="1"/>
  <c r="A8" i="1" a="1"/>
  <c r="A44" i="1" a="1"/>
  <c r="A70" i="1" a="1"/>
  <c r="A46" i="1" a="1"/>
  <c r="A16" i="1" a="1"/>
  <c r="A25" i="1" a="1"/>
  <c r="A67" i="1" a="1"/>
  <c r="A61" i="1" a="1"/>
  <c r="A53" i="1" a="1"/>
  <c r="A10" i="1" a="1"/>
  <c r="A55" i="1" a="1"/>
  <c r="A13" i="1" a="1"/>
  <c r="A20" i="1" a="1"/>
  <c r="A33" i="1" a="1"/>
  <c r="A17" i="1" a="1"/>
  <c r="A27" i="1" a="1"/>
  <c r="A9" i="1" a="1"/>
  <c r="A69" i="1" a="1"/>
  <c r="A63" i="1" a="1"/>
  <c r="A24" i="1" a="1"/>
  <c r="A39" i="1" a="1"/>
  <c r="A32" i="1" a="1"/>
  <c r="A41" i="1" a="1"/>
  <c r="A21" i="1" a="1"/>
  <c r="A35" i="1" a="1"/>
  <c r="A14" i="1" a="1"/>
  <c r="A29" i="1" a="1"/>
  <c r="A15" i="1" a="1"/>
  <c r="A31" i="1" a="1"/>
  <c r="A40" i="1" a="1"/>
  <c r="A49" i="1" a="1"/>
  <c r="A26" i="1" a="1"/>
  <c r="A43" i="1" a="1"/>
  <c r="A18" i="1" a="1"/>
  <c r="A37" i="1" a="1"/>
  <c r="A19" i="1" a="1"/>
  <c r="A48" i="1" a="1"/>
  <c r="A58" i="1" a="1"/>
  <c r="A34" i="1" a="1"/>
  <c r="A52" i="1" a="1"/>
  <c r="A22" i="1" a="1"/>
  <c r="A45" i="1" a="1"/>
  <c r="A23" i="1" a="1"/>
  <c r="A47" i="1" a="1"/>
  <c r="A65" i="1" a="1"/>
  <c r="N50" i="1" l="1"/>
  <c r="J50" i="1"/>
  <c r="A13" i="1"/>
  <c r="A12" i="1"/>
  <c r="A64" i="1"/>
  <c r="A56" i="1"/>
  <c r="A47" i="1"/>
  <c r="A39" i="1"/>
  <c r="A31" i="1"/>
  <c r="A24" i="1"/>
  <c r="A55" i="1"/>
  <c r="A46" i="1"/>
  <c r="A38" i="1"/>
  <c r="A30" i="1"/>
  <c r="A23" i="1"/>
  <c r="A19" i="1"/>
  <c r="A15" i="1"/>
  <c r="A63" i="1"/>
  <c r="A10" i="1"/>
  <c r="A70" i="1"/>
  <c r="A62" i="1"/>
  <c r="A54" i="1"/>
  <c r="A45" i="1"/>
  <c r="A37" i="1"/>
  <c r="A29" i="1"/>
  <c r="A69" i="1"/>
  <c r="A53" i="1"/>
  <c r="A44" i="1"/>
  <c r="A36" i="1"/>
  <c r="A28" i="1"/>
  <c r="A22" i="1"/>
  <c r="A18" i="1"/>
  <c r="A14" i="1"/>
  <c r="A9" i="1"/>
  <c r="A61" i="1"/>
  <c r="A8" i="1"/>
  <c r="A68" i="1"/>
  <c r="A60" i="1"/>
  <c r="A52" i="1"/>
  <c r="A43" i="1"/>
  <c r="A35" i="1"/>
  <c r="A27" i="1"/>
  <c r="A67" i="1"/>
  <c r="A59" i="1"/>
  <c r="A51" i="1"/>
  <c r="A42" i="1"/>
  <c r="A34" i="1"/>
  <c r="A26" i="1"/>
  <c r="A21" i="1"/>
  <c r="A17" i="1"/>
  <c r="A11" i="1"/>
  <c r="A6" i="1"/>
  <c r="A66" i="1"/>
  <c r="A58" i="1"/>
  <c r="A49" i="1"/>
  <c r="A41" i="1"/>
  <c r="A33" i="1"/>
  <c r="A25" i="1"/>
  <c r="A7" i="1"/>
  <c r="A5" i="1"/>
  <c r="A65" i="1"/>
  <c r="A57" i="1"/>
  <c r="A48" i="1"/>
  <c r="A40" i="1"/>
  <c r="A32" i="1"/>
  <c r="A20" i="1"/>
  <c r="A16" i="1"/>
  <c r="M74" i="1"/>
  <c r="DR34" i="1"/>
  <c r="DQ34" i="1"/>
  <c r="Q34" i="1"/>
  <c r="P34" i="1"/>
  <c r="CR52" i="1"/>
  <c r="CS52" i="1"/>
  <c r="CT52" i="1"/>
  <c r="CU52" i="1"/>
  <c r="CV52" i="1"/>
  <c r="CW52" i="1"/>
  <c r="CX52" i="1"/>
  <c r="CY52" i="1"/>
  <c r="CZ52" i="1"/>
  <c r="DA52" i="1"/>
  <c r="DB52" i="1"/>
  <c r="CQ52" i="1"/>
  <c r="Q40" i="1"/>
  <c r="R40" i="1"/>
  <c r="P40" i="1"/>
  <c r="Q14" i="1"/>
  <c r="R14" i="1"/>
  <c r="S14" i="1"/>
  <c r="T14" i="1"/>
  <c r="U14" i="1"/>
  <c r="V14" i="1"/>
  <c r="W14" i="1"/>
  <c r="X14" i="1"/>
  <c r="Y14" i="1"/>
  <c r="Z14" i="1"/>
  <c r="AA14" i="1"/>
  <c r="P14" i="1"/>
  <c r="Q43" i="1"/>
  <c r="R43" i="1"/>
  <c r="S43" i="1"/>
  <c r="T43" i="1"/>
  <c r="U43" i="1"/>
  <c r="V43" i="1"/>
  <c r="W43" i="1"/>
  <c r="X43" i="1"/>
  <c r="Y43" i="1"/>
  <c r="Z43" i="1"/>
  <c r="AA43" i="1"/>
  <c r="P43" i="1"/>
  <c r="DR52" i="1"/>
  <c r="DS52" i="1"/>
  <c r="DT52" i="1"/>
  <c r="DU52" i="1"/>
  <c r="DV52" i="1"/>
  <c r="DW52" i="1"/>
  <c r="DX52" i="1"/>
  <c r="DY52" i="1"/>
  <c r="DZ52" i="1"/>
  <c r="EA52" i="1"/>
  <c r="EB52" i="1"/>
  <c r="DQ52" i="1"/>
  <c r="R34" i="1"/>
  <c r="S34" i="1"/>
  <c r="T34" i="1"/>
  <c r="U34" i="1"/>
  <c r="V34" i="1"/>
  <c r="W34" i="1"/>
  <c r="X34" i="1"/>
  <c r="Y34" i="1"/>
  <c r="Z34" i="1"/>
  <c r="AA34" i="1"/>
  <c r="BD25" i="1"/>
  <c r="BE25" i="1"/>
  <c r="BF25" i="1"/>
  <c r="BG25" i="1"/>
  <c r="BH25" i="1"/>
  <c r="BI25" i="1"/>
  <c r="BJ25" i="1"/>
  <c r="BK25" i="1"/>
  <c r="BL25" i="1"/>
  <c r="BM25" i="1"/>
  <c r="BN25" i="1"/>
  <c r="BC25" i="1"/>
  <c r="Q25" i="1"/>
  <c r="R25" i="1"/>
  <c r="S25" i="1"/>
  <c r="T25" i="1"/>
  <c r="U25" i="1"/>
  <c r="V25" i="1"/>
  <c r="W25" i="1"/>
  <c r="X25" i="1"/>
  <c r="Y25" i="1"/>
  <c r="Z25" i="1"/>
  <c r="AA25" i="1"/>
  <c r="P25" i="1"/>
  <c r="CR13" i="1"/>
  <c r="CS13" i="1"/>
  <c r="CT13" i="1"/>
  <c r="CU13" i="1"/>
  <c r="CV13" i="1"/>
  <c r="CW13" i="1"/>
  <c r="CX13" i="1"/>
  <c r="CY13" i="1"/>
  <c r="CZ13" i="1"/>
  <c r="DA13" i="1"/>
  <c r="DB13" i="1"/>
  <c r="CQ13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Q85" i="1"/>
  <c r="CR85" i="1"/>
  <c r="CS85" i="1"/>
  <c r="CT85" i="1"/>
  <c r="CU85" i="1"/>
  <c r="CV85" i="1"/>
  <c r="CW85" i="1"/>
  <c r="CX85" i="1"/>
  <c r="CY85" i="1"/>
  <c r="CZ85" i="1"/>
  <c r="DA85" i="1"/>
  <c r="DB85" i="1"/>
  <c r="DD85" i="1"/>
  <c r="DE85" i="1"/>
  <c r="DF85" i="1"/>
  <c r="DG85" i="1"/>
  <c r="DH85" i="1"/>
  <c r="DI85" i="1"/>
  <c r="DJ85" i="1"/>
  <c r="DK85" i="1"/>
  <c r="DL85" i="1"/>
  <c r="DM85" i="1"/>
  <c r="DN85" i="1"/>
  <c r="DO85" i="1"/>
  <c r="DQ85" i="1"/>
  <c r="DR85" i="1"/>
  <c r="DS85" i="1"/>
  <c r="DT85" i="1"/>
  <c r="DU85" i="1"/>
  <c r="DV85" i="1"/>
  <c r="DW85" i="1"/>
  <c r="DX85" i="1"/>
  <c r="DY85" i="1"/>
  <c r="DZ85" i="1"/>
  <c r="EA85" i="1"/>
  <c r="EB85" i="1"/>
  <c r="ED85" i="1"/>
  <c r="EE85" i="1"/>
  <c r="EF85" i="1"/>
  <c r="EG85" i="1"/>
  <c r="EH85" i="1"/>
  <c r="EI85" i="1"/>
  <c r="EJ85" i="1"/>
  <c r="EK85" i="1"/>
  <c r="EL85" i="1"/>
  <c r="EM85" i="1"/>
  <c r="EN85" i="1"/>
  <c r="EO85" i="1"/>
  <c r="AB78" i="1"/>
  <c r="AB80" i="1"/>
  <c r="L85" i="1"/>
  <c r="AB89" i="1" l="1"/>
  <c r="AO89" i="1"/>
  <c r="EP3" i="1" l="1"/>
  <c r="EP9" i="1"/>
  <c r="EP11" i="1"/>
  <c r="EP15" i="1"/>
  <c r="EP19" i="1"/>
  <c r="EP20" i="1"/>
  <c r="EP23" i="1"/>
  <c r="EP24" i="1"/>
  <c r="EP26" i="1"/>
  <c r="EP27" i="1"/>
  <c r="EP28" i="1"/>
  <c r="EP29" i="1"/>
  <c r="EP48" i="1"/>
  <c r="EP32" i="1"/>
  <c r="EP37" i="1"/>
  <c r="EP39" i="1"/>
  <c r="EP40" i="1"/>
  <c r="EP41" i="1"/>
  <c r="EP44" i="1"/>
  <c r="EP51" i="1"/>
  <c r="EP53" i="1"/>
  <c r="EP56" i="1"/>
  <c r="EP57" i="1"/>
  <c r="EP58" i="1"/>
  <c r="EP61" i="1"/>
  <c r="EP62" i="1"/>
  <c r="EP63" i="1"/>
  <c r="EP65" i="1"/>
  <c r="EP66" i="1"/>
  <c r="EP68" i="1"/>
  <c r="EP14" i="1"/>
  <c r="EP5" i="1"/>
  <c r="EP8" i="1"/>
  <c r="EP7" i="1"/>
  <c r="EP22" i="1"/>
  <c r="EP43" i="1"/>
  <c r="EP42" i="1"/>
  <c r="EP45" i="1"/>
  <c r="EP69" i="1"/>
  <c r="EP36" i="1"/>
  <c r="EP21" i="1"/>
  <c r="EP12" i="1"/>
  <c r="EP35" i="1"/>
  <c r="EP16" i="1"/>
  <c r="EP4" i="1"/>
  <c r="EP10" i="1"/>
  <c r="EP13" i="1"/>
  <c r="EP17" i="1"/>
  <c r="EP25" i="1"/>
  <c r="EP33" i="1"/>
  <c r="EP34" i="1"/>
  <c r="EP38" i="1"/>
  <c r="EP46" i="1"/>
  <c r="EP49" i="1"/>
  <c r="EP52" i="1"/>
  <c r="EP54" i="1"/>
  <c r="EP64" i="1"/>
  <c r="EP67" i="1"/>
  <c r="EP70" i="1"/>
  <c r="EP31" i="1"/>
  <c r="H72" i="1" l="1"/>
  <c r="L72" i="1"/>
  <c r="L87" i="1" s="1"/>
  <c r="BB74" i="1"/>
  <c r="BO74" i="1"/>
  <c r="CB74" i="1"/>
  <c r="CO74" i="1"/>
  <c r="DC74" i="1"/>
  <c r="DP74" i="1"/>
  <c r="EC74" i="1"/>
  <c r="EP74" i="1"/>
  <c r="BB82" i="1"/>
  <c r="BO82" i="1"/>
  <c r="CB82" i="1"/>
  <c r="CO82" i="1"/>
  <c r="DC82" i="1"/>
  <c r="DP82" i="1"/>
  <c r="EC82" i="1"/>
  <c r="EP82" i="1"/>
  <c r="BB83" i="1"/>
  <c r="BO83" i="1"/>
  <c r="CB83" i="1"/>
  <c r="CO83" i="1"/>
  <c r="DC83" i="1"/>
  <c r="DP83" i="1"/>
  <c r="EC83" i="1"/>
  <c r="EP83" i="1"/>
  <c r="BB78" i="1"/>
  <c r="BO78" i="1"/>
  <c r="CB78" i="1"/>
  <c r="CO78" i="1"/>
  <c r="DC78" i="1"/>
  <c r="DP78" i="1"/>
  <c r="EC78" i="1"/>
  <c r="EP78" i="1"/>
  <c r="BB80" i="1"/>
  <c r="BO80" i="1"/>
  <c r="CB80" i="1"/>
  <c r="CO80" i="1"/>
  <c r="DC80" i="1"/>
  <c r="DP80" i="1"/>
  <c r="EC80" i="1"/>
  <c r="EP80" i="1"/>
  <c r="BB75" i="1"/>
  <c r="BO75" i="1"/>
  <c r="CB75" i="1"/>
  <c r="CO75" i="1"/>
  <c r="DC75" i="1"/>
  <c r="DP75" i="1"/>
  <c r="EC75" i="1"/>
  <c r="EP75" i="1"/>
  <c r="BB76" i="1"/>
  <c r="BO76" i="1"/>
  <c r="CB76" i="1"/>
  <c r="CO76" i="1"/>
  <c r="DC76" i="1"/>
  <c r="DP76" i="1"/>
  <c r="EC76" i="1"/>
  <c r="EP76" i="1"/>
  <c r="AO74" i="1"/>
  <c r="AO82" i="1"/>
  <c r="AO83" i="1"/>
  <c r="AO78" i="1"/>
  <c r="AO80" i="1"/>
  <c r="AO75" i="1"/>
  <c r="AO76" i="1"/>
  <c r="AO2" i="1"/>
  <c r="AO3" i="1"/>
  <c r="AO9" i="1"/>
  <c r="AO11" i="1"/>
  <c r="AO19" i="1"/>
  <c r="AO20" i="1"/>
  <c r="AO23" i="1"/>
  <c r="AO24" i="1"/>
  <c r="AO26" i="1"/>
  <c r="AO27" i="1"/>
  <c r="AO28" i="1"/>
  <c r="AO29" i="1"/>
  <c r="AO48" i="1"/>
  <c r="AO37" i="1"/>
  <c r="AO39" i="1"/>
  <c r="AO40" i="1"/>
  <c r="AO41" i="1"/>
  <c r="AO44" i="1"/>
  <c r="AO51" i="1"/>
  <c r="AO56" i="1"/>
  <c r="AO57" i="1"/>
  <c r="AO58" i="1"/>
  <c r="AO59" i="1"/>
  <c r="AO60" i="1"/>
  <c r="AO63" i="1"/>
  <c r="AO66" i="1"/>
  <c r="AO68" i="1"/>
  <c r="AO14" i="1"/>
  <c r="AO5" i="1"/>
  <c r="AO6" i="1"/>
  <c r="AO7" i="1"/>
  <c r="AO22" i="1"/>
  <c r="AO43" i="1"/>
  <c r="AO42" i="1"/>
  <c r="AO45" i="1"/>
  <c r="AO69" i="1"/>
  <c r="AO36" i="1"/>
  <c r="AO35" i="1"/>
  <c r="AO16" i="1"/>
  <c r="AO4" i="1"/>
  <c r="AO10" i="1"/>
  <c r="AO13" i="1"/>
  <c r="AO17" i="1"/>
  <c r="AO18" i="1"/>
  <c r="AO25" i="1"/>
  <c r="AO30" i="1"/>
  <c r="AO33" i="1"/>
  <c r="AO34" i="1"/>
  <c r="AO38" i="1"/>
  <c r="AO46" i="1"/>
  <c r="AO49" i="1"/>
  <c r="AO52" i="1"/>
  <c r="AO55" i="1"/>
  <c r="AO64" i="1"/>
  <c r="AO31" i="1"/>
  <c r="AO79" i="1"/>
  <c r="M76" i="1"/>
  <c r="I76" i="1"/>
  <c r="AO85" i="1" l="1"/>
  <c r="CP76" i="1"/>
  <c r="K76" i="1" s="1"/>
  <c r="CP75" i="1"/>
  <c r="CP80" i="1"/>
  <c r="CP78" i="1"/>
  <c r="CP83" i="1"/>
  <c r="CP82" i="1"/>
  <c r="CP74" i="1"/>
  <c r="W76" i="1"/>
  <c r="X76" i="1"/>
  <c r="Y76" i="1"/>
  <c r="Z76" i="1"/>
  <c r="AA76" i="1"/>
  <c r="V76" i="1"/>
  <c r="W75" i="1"/>
  <c r="X75" i="1"/>
  <c r="Y75" i="1"/>
  <c r="Z75" i="1"/>
  <c r="AA75" i="1"/>
  <c r="V75" i="1"/>
  <c r="H75" i="1"/>
  <c r="I75" i="1" s="1"/>
  <c r="W74" i="1"/>
  <c r="X74" i="1"/>
  <c r="Y74" i="1"/>
  <c r="Z74" i="1"/>
  <c r="AA74" i="1"/>
  <c r="V74" i="1"/>
  <c r="Q74" i="1"/>
  <c r="R74" i="1"/>
  <c r="S74" i="1"/>
  <c r="T74" i="1"/>
  <c r="U74" i="1"/>
  <c r="P74" i="1"/>
  <c r="Q83" i="1"/>
  <c r="R83" i="1"/>
  <c r="S83" i="1"/>
  <c r="T83" i="1"/>
  <c r="U83" i="1"/>
  <c r="P83" i="1"/>
  <c r="H83" i="1"/>
  <c r="G83" i="1"/>
  <c r="G85" i="1" s="1"/>
  <c r="Q82" i="1"/>
  <c r="R82" i="1"/>
  <c r="S82" i="1"/>
  <c r="T82" i="1"/>
  <c r="U82" i="1"/>
  <c r="P82" i="1"/>
  <c r="Q79" i="1"/>
  <c r="R79" i="1"/>
  <c r="S79" i="1"/>
  <c r="T79" i="1"/>
  <c r="U79" i="1"/>
  <c r="P79" i="1"/>
  <c r="EE18" i="1"/>
  <c r="EF18" i="1"/>
  <c r="EG18" i="1"/>
  <c r="EH18" i="1"/>
  <c r="EI18" i="1"/>
  <c r="EJ18" i="1"/>
  <c r="EK18" i="1"/>
  <c r="EL18" i="1"/>
  <c r="EM18" i="1"/>
  <c r="EN18" i="1"/>
  <c r="EO18" i="1"/>
  <c r="ED18" i="1"/>
  <c r="Q18" i="1"/>
  <c r="R18" i="1"/>
  <c r="S18" i="1"/>
  <c r="T18" i="1"/>
  <c r="U18" i="1"/>
  <c r="V18" i="1"/>
  <c r="W18" i="1"/>
  <c r="X18" i="1"/>
  <c r="Y18" i="1"/>
  <c r="Z18" i="1"/>
  <c r="AA18" i="1"/>
  <c r="P18" i="1"/>
  <c r="AQ46" i="1"/>
  <c r="AR46" i="1"/>
  <c r="AS46" i="1"/>
  <c r="AT46" i="1"/>
  <c r="AU46" i="1"/>
  <c r="AV46" i="1"/>
  <c r="AW46" i="1"/>
  <c r="AX46" i="1"/>
  <c r="AY46" i="1"/>
  <c r="AZ46" i="1"/>
  <c r="BA46" i="1"/>
  <c r="AP46" i="1"/>
  <c r="AD70" i="1"/>
  <c r="AE70" i="1"/>
  <c r="AF70" i="1"/>
  <c r="AG70" i="1"/>
  <c r="AH70" i="1"/>
  <c r="AI70" i="1"/>
  <c r="AJ70" i="1"/>
  <c r="AK70" i="1"/>
  <c r="AL70" i="1"/>
  <c r="AM70" i="1"/>
  <c r="AN70" i="1"/>
  <c r="AC70" i="1"/>
  <c r="DE70" i="1"/>
  <c r="DF70" i="1"/>
  <c r="DG70" i="1"/>
  <c r="DH70" i="1"/>
  <c r="DI70" i="1"/>
  <c r="DJ70" i="1"/>
  <c r="DK70" i="1"/>
  <c r="DL70" i="1"/>
  <c r="DM70" i="1"/>
  <c r="DN70" i="1"/>
  <c r="DO70" i="1"/>
  <c r="DD70" i="1"/>
  <c r="Q64" i="1"/>
  <c r="R64" i="1"/>
  <c r="S64" i="1"/>
  <c r="T64" i="1"/>
  <c r="U64" i="1"/>
  <c r="V64" i="1"/>
  <c r="W64" i="1"/>
  <c r="X64" i="1"/>
  <c r="Y64" i="1"/>
  <c r="Z64" i="1"/>
  <c r="AA64" i="1"/>
  <c r="P64" i="1"/>
  <c r="DR64" i="1"/>
  <c r="DS64" i="1"/>
  <c r="DT64" i="1"/>
  <c r="DU64" i="1"/>
  <c r="DV64" i="1"/>
  <c r="DW64" i="1"/>
  <c r="DX64" i="1"/>
  <c r="DY64" i="1"/>
  <c r="DZ64" i="1"/>
  <c r="EA64" i="1"/>
  <c r="EB64" i="1"/>
  <c r="DQ64" i="1"/>
  <c r="EE30" i="1"/>
  <c r="EF30" i="1"/>
  <c r="EG30" i="1"/>
  <c r="EH30" i="1"/>
  <c r="EI30" i="1"/>
  <c r="ED30" i="1"/>
  <c r="CR49" i="1"/>
  <c r="CS49" i="1"/>
  <c r="CT49" i="1"/>
  <c r="CU49" i="1"/>
  <c r="CV49" i="1"/>
  <c r="CW49" i="1"/>
  <c r="CX49" i="1"/>
  <c r="CY49" i="1"/>
  <c r="CZ49" i="1"/>
  <c r="DA49" i="1"/>
  <c r="DB49" i="1"/>
  <c r="CQ49" i="1"/>
  <c r="DR49" i="1"/>
  <c r="DS49" i="1"/>
  <c r="DT49" i="1"/>
  <c r="DU49" i="1"/>
  <c r="DV49" i="1"/>
  <c r="DW49" i="1"/>
  <c r="DX49" i="1"/>
  <c r="DY49" i="1"/>
  <c r="DZ49" i="1"/>
  <c r="EA49" i="1"/>
  <c r="EB49" i="1"/>
  <c r="DQ49" i="1"/>
  <c r="DR54" i="1"/>
  <c r="DS54" i="1"/>
  <c r="DT54" i="1"/>
  <c r="DU54" i="1"/>
  <c r="DV54" i="1"/>
  <c r="DW54" i="1"/>
  <c r="DX54" i="1"/>
  <c r="DY54" i="1"/>
  <c r="DZ54" i="1"/>
  <c r="EA54" i="1"/>
  <c r="EB54" i="1"/>
  <c r="DQ54" i="1"/>
  <c r="AD54" i="1"/>
  <c r="AE54" i="1"/>
  <c r="AF54" i="1"/>
  <c r="AG54" i="1"/>
  <c r="AH54" i="1"/>
  <c r="AI54" i="1"/>
  <c r="AJ54" i="1"/>
  <c r="AK54" i="1"/>
  <c r="AL54" i="1"/>
  <c r="AM54" i="1"/>
  <c r="AN54" i="1"/>
  <c r="AC54" i="1"/>
  <c r="DR55" i="1"/>
  <c r="DS55" i="1"/>
  <c r="DT55" i="1"/>
  <c r="DU55" i="1"/>
  <c r="DV55" i="1"/>
  <c r="DW55" i="1"/>
  <c r="DX55" i="1"/>
  <c r="DY55" i="1"/>
  <c r="DZ55" i="1"/>
  <c r="EA55" i="1"/>
  <c r="EB55" i="1"/>
  <c r="DQ55" i="1"/>
  <c r="CX67" i="1"/>
  <c r="CY67" i="1"/>
  <c r="CZ67" i="1"/>
  <c r="DA67" i="1"/>
  <c r="DB67" i="1"/>
  <c r="CW67" i="1"/>
  <c r="CR67" i="1"/>
  <c r="CS67" i="1"/>
  <c r="CT67" i="1"/>
  <c r="CU67" i="1"/>
  <c r="CV67" i="1"/>
  <c r="CQ67" i="1"/>
  <c r="AJ67" i="1"/>
  <c r="AK67" i="1"/>
  <c r="AL67" i="1"/>
  <c r="AM67" i="1"/>
  <c r="AN67" i="1"/>
  <c r="AI67" i="1"/>
  <c r="AD67" i="1"/>
  <c r="AE67" i="1"/>
  <c r="AF67" i="1"/>
  <c r="AG67" i="1"/>
  <c r="AH67" i="1"/>
  <c r="AC67" i="1"/>
  <c r="AQ31" i="1"/>
  <c r="AR31" i="1"/>
  <c r="AS31" i="1"/>
  <c r="AT31" i="1"/>
  <c r="AU31" i="1"/>
  <c r="AV31" i="1"/>
  <c r="AW31" i="1"/>
  <c r="AX31" i="1"/>
  <c r="AY31" i="1"/>
  <c r="AZ31" i="1"/>
  <c r="BA31" i="1"/>
  <c r="AP31" i="1"/>
  <c r="EP79" i="1"/>
  <c r="EP85" i="1" s="1"/>
  <c r="EC79" i="1"/>
  <c r="EC85" i="1" s="1"/>
  <c r="DP79" i="1"/>
  <c r="DP85" i="1" s="1"/>
  <c r="DC79" i="1"/>
  <c r="DC85" i="1" s="1"/>
  <c r="CO79" i="1"/>
  <c r="CO85" i="1" s="1"/>
  <c r="CB79" i="1"/>
  <c r="CB85" i="1" s="1"/>
  <c r="BO79" i="1"/>
  <c r="BO85" i="1" s="1"/>
  <c r="BB79" i="1"/>
  <c r="BB85" i="1" s="1"/>
  <c r="M79" i="1"/>
  <c r="M82" i="1"/>
  <c r="M83" i="1"/>
  <c r="M78" i="1"/>
  <c r="M80" i="1"/>
  <c r="I79" i="1"/>
  <c r="I74" i="1"/>
  <c r="I82" i="1"/>
  <c r="I78" i="1"/>
  <c r="I80" i="1"/>
  <c r="I83" i="1" l="1"/>
  <c r="W85" i="1"/>
  <c r="AB75" i="1"/>
  <c r="AB79" i="1"/>
  <c r="P85" i="1"/>
  <c r="U85" i="1"/>
  <c r="V85" i="1"/>
  <c r="T85" i="1"/>
  <c r="AA85" i="1"/>
  <c r="S85" i="1"/>
  <c r="AB74" i="1"/>
  <c r="Z85" i="1"/>
  <c r="R85" i="1"/>
  <c r="Y85" i="1"/>
  <c r="Q85" i="1"/>
  <c r="AB82" i="1"/>
  <c r="AB83" i="1"/>
  <c r="X85" i="1"/>
  <c r="I85" i="1"/>
  <c r="H85" i="1"/>
  <c r="H87" i="1" s="1"/>
  <c r="AB76" i="1"/>
  <c r="AO67" i="1"/>
  <c r="AO70" i="1"/>
  <c r="AO54" i="1"/>
  <c r="EP30" i="1"/>
  <c r="K83" i="1"/>
  <c r="M75" i="1"/>
  <c r="K75" i="1" s="1"/>
  <c r="CP79" i="1"/>
  <c r="K74" i="1"/>
  <c r="K78" i="1"/>
  <c r="K82" i="1"/>
  <c r="K80" i="1"/>
  <c r="K79" i="1" l="1"/>
  <c r="K85" i="1" s="1"/>
  <c r="CP85" i="1"/>
  <c r="M85" i="1"/>
  <c r="AB85" i="1"/>
  <c r="CR38" i="1"/>
  <c r="CS38" i="1"/>
  <c r="CT38" i="1"/>
  <c r="CU38" i="1"/>
  <c r="CV38" i="1"/>
  <c r="CW38" i="1"/>
  <c r="CX38" i="1"/>
  <c r="CY38" i="1"/>
  <c r="CZ38" i="1"/>
  <c r="DA38" i="1"/>
  <c r="DB38" i="1"/>
  <c r="CQ38" i="1"/>
  <c r="I46" i="1"/>
  <c r="I49" i="1"/>
  <c r="I52" i="1"/>
  <c r="I54" i="1"/>
  <c r="I55" i="1"/>
  <c r="I64" i="1"/>
  <c r="I67" i="1"/>
  <c r="I70" i="1"/>
  <c r="I31" i="1"/>
  <c r="M34" i="1"/>
  <c r="M38" i="1"/>
  <c r="M46" i="1"/>
  <c r="M49" i="1"/>
  <c r="M52" i="1"/>
  <c r="M54" i="1"/>
  <c r="M55" i="1"/>
  <c r="M64" i="1"/>
  <c r="M67" i="1"/>
  <c r="M70" i="1"/>
  <c r="M31" i="1"/>
  <c r="I34" i="1"/>
  <c r="I38" i="1"/>
  <c r="Q33" i="1"/>
  <c r="R33" i="1"/>
  <c r="S33" i="1"/>
  <c r="T33" i="1"/>
  <c r="U33" i="1"/>
  <c r="V33" i="1"/>
  <c r="W33" i="1"/>
  <c r="X33" i="1"/>
  <c r="Y33" i="1"/>
  <c r="Z33" i="1"/>
  <c r="AA33" i="1"/>
  <c r="P33" i="1"/>
  <c r="DR33" i="1"/>
  <c r="DS33" i="1"/>
  <c r="DT33" i="1"/>
  <c r="DU33" i="1"/>
  <c r="DV33" i="1"/>
  <c r="DW33" i="1"/>
  <c r="DX33" i="1"/>
  <c r="DY33" i="1"/>
  <c r="DZ33" i="1"/>
  <c r="EA33" i="1"/>
  <c r="EB33" i="1"/>
  <c r="DQ33" i="1"/>
  <c r="M13" i="1"/>
  <c r="M17" i="1"/>
  <c r="M18" i="1"/>
  <c r="M25" i="1"/>
  <c r="M30" i="1"/>
  <c r="M33" i="1"/>
  <c r="I13" i="1"/>
  <c r="I17" i="1"/>
  <c r="I18" i="1"/>
  <c r="I25" i="1"/>
  <c r="I30" i="1"/>
  <c r="I33" i="1"/>
  <c r="I10" i="1"/>
  <c r="M10" i="1"/>
  <c r="BD4" i="1"/>
  <c r="BE4" i="1"/>
  <c r="BF4" i="1"/>
  <c r="BG4" i="1"/>
  <c r="BH4" i="1"/>
  <c r="BI4" i="1"/>
  <c r="BJ4" i="1"/>
  <c r="BK4" i="1"/>
  <c r="BL4" i="1"/>
  <c r="BM4" i="1"/>
  <c r="BN4" i="1"/>
  <c r="BC4" i="1"/>
  <c r="AQ4" i="1"/>
  <c r="AR4" i="1"/>
  <c r="AS4" i="1"/>
  <c r="AT4" i="1"/>
  <c r="AU4" i="1"/>
  <c r="AV4" i="1"/>
  <c r="AW4" i="1"/>
  <c r="AX4" i="1"/>
  <c r="AY4" i="1"/>
  <c r="AZ4" i="1"/>
  <c r="BA4" i="1"/>
  <c r="AP4" i="1"/>
  <c r="I4" i="1"/>
  <c r="M4" i="1"/>
  <c r="EE6" i="1"/>
  <c r="EF6" i="1"/>
  <c r="EG6" i="1"/>
  <c r="EH6" i="1"/>
  <c r="EI6" i="1"/>
  <c r="EJ6" i="1"/>
  <c r="EK6" i="1"/>
  <c r="EL6" i="1"/>
  <c r="EM6" i="1"/>
  <c r="EN6" i="1"/>
  <c r="EO6" i="1"/>
  <c r="ED6" i="1"/>
  <c r="CO8" i="1"/>
  <c r="AC8" i="1"/>
  <c r="AD8" i="1"/>
  <c r="AE8" i="1"/>
  <c r="AF8" i="1"/>
  <c r="AG8" i="1"/>
  <c r="AH8" i="1"/>
  <c r="AI8" i="1"/>
  <c r="AJ8" i="1"/>
  <c r="AK8" i="1"/>
  <c r="AL8" i="1"/>
  <c r="AM8" i="1"/>
  <c r="AN8" i="1"/>
  <c r="Q5" i="1"/>
  <c r="R5" i="1"/>
  <c r="S5" i="1"/>
  <c r="T5" i="1"/>
  <c r="U5" i="1"/>
  <c r="V5" i="1"/>
  <c r="W5" i="1"/>
  <c r="X5" i="1"/>
  <c r="Y5" i="1"/>
  <c r="Z5" i="1"/>
  <c r="AA5" i="1"/>
  <c r="P5" i="1"/>
  <c r="DR41" i="1"/>
  <c r="DS41" i="1"/>
  <c r="DT41" i="1"/>
  <c r="DU41" i="1"/>
  <c r="DV41" i="1"/>
  <c r="DW41" i="1"/>
  <c r="DX41" i="1"/>
  <c r="DY41" i="1"/>
  <c r="DZ41" i="1"/>
  <c r="EA41" i="1"/>
  <c r="EB41" i="1"/>
  <c r="DQ41" i="1"/>
  <c r="AQ41" i="1"/>
  <c r="AR41" i="1"/>
  <c r="AS41" i="1"/>
  <c r="AT41" i="1"/>
  <c r="AU41" i="1"/>
  <c r="AV41" i="1"/>
  <c r="AW41" i="1"/>
  <c r="AX41" i="1"/>
  <c r="AY41" i="1"/>
  <c r="AZ41" i="1"/>
  <c r="BA41" i="1"/>
  <c r="AP41" i="1"/>
  <c r="EP6" i="1" l="1"/>
  <c r="AO8" i="1"/>
  <c r="CR8" i="1"/>
  <c r="CS8" i="1"/>
  <c r="CT8" i="1"/>
  <c r="CU8" i="1"/>
  <c r="CV8" i="1"/>
  <c r="CW8" i="1"/>
  <c r="CX8" i="1"/>
  <c r="CY8" i="1"/>
  <c r="CZ8" i="1"/>
  <c r="DA8" i="1"/>
  <c r="DB8" i="1"/>
  <c r="CQ8" i="1"/>
  <c r="DR8" i="1"/>
  <c r="DS8" i="1"/>
  <c r="DT8" i="1"/>
  <c r="DU8" i="1"/>
  <c r="DV8" i="1"/>
  <c r="DW8" i="1"/>
  <c r="DX8" i="1"/>
  <c r="DY8" i="1"/>
  <c r="DZ8" i="1"/>
  <c r="EA8" i="1"/>
  <c r="EB8" i="1"/>
  <c r="DQ8" i="1"/>
  <c r="AD65" i="1"/>
  <c r="AE65" i="1"/>
  <c r="AF65" i="1"/>
  <c r="AG65" i="1"/>
  <c r="AH65" i="1"/>
  <c r="AI65" i="1"/>
  <c r="AJ65" i="1"/>
  <c r="AK65" i="1"/>
  <c r="AL65" i="1"/>
  <c r="AM65" i="1"/>
  <c r="AN65" i="1"/>
  <c r="AC65" i="1"/>
  <c r="DE65" i="1"/>
  <c r="DF65" i="1"/>
  <c r="DG65" i="1"/>
  <c r="DH65" i="1"/>
  <c r="DI65" i="1"/>
  <c r="DJ65" i="1"/>
  <c r="DK65" i="1"/>
  <c r="DL65" i="1"/>
  <c r="DM65" i="1"/>
  <c r="DN65" i="1"/>
  <c r="DO65" i="1"/>
  <c r="DD65" i="1"/>
  <c r="DR65" i="1"/>
  <c r="DS65" i="1"/>
  <c r="DT65" i="1"/>
  <c r="DU65" i="1"/>
  <c r="DV65" i="1"/>
  <c r="DW65" i="1"/>
  <c r="DX65" i="1"/>
  <c r="DY65" i="1"/>
  <c r="DZ65" i="1"/>
  <c r="EA65" i="1"/>
  <c r="EB65" i="1"/>
  <c r="DQ65" i="1"/>
  <c r="CR65" i="1"/>
  <c r="CS65" i="1"/>
  <c r="CT65" i="1"/>
  <c r="CU65" i="1"/>
  <c r="CV65" i="1"/>
  <c r="CW65" i="1"/>
  <c r="CX65" i="1"/>
  <c r="CY65" i="1"/>
  <c r="CZ65" i="1"/>
  <c r="DA65" i="1"/>
  <c r="DB65" i="1"/>
  <c r="CQ65" i="1"/>
  <c r="EE60" i="1"/>
  <c r="EF60" i="1"/>
  <c r="EG60" i="1"/>
  <c r="EH60" i="1"/>
  <c r="EI60" i="1"/>
  <c r="EJ60" i="1"/>
  <c r="EK60" i="1"/>
  <c r="EL60" i="1"/>
  <c r="EM60" i="1"/>
  <c r="EN60" i="1"/>
  <c r="EO60" i="1"/>
  <c r="ED60" i="1"/>
  <c r="BD60" i="1"/>
  <c r="BE60" i="1"/>
  <c r="BF60" i="1"/>
  <c r="BG60" i="1"/>
  <c r="BH60" i="1"/>
  <c r="BI60" i="1"/>
  <c r="BJ60" i="1"/>
  <c r="BK60" i="1"/>
  <c r="BL60" i="1"/>
  <c r="BM60" i="1"/>
  <c r="BN60" i="1"/>
  <c r="BC60" i="1"/>
  <c r="Q59" i="1"/>
  <c r="R59" i="1"/>
  <c r="S59" i="1"/>
  <c r="T59" i="1"/>
  <c r="U59" i="1"/>
  <c r="V59" i="1"/>
  <c r="W59" i="1"/>
  <c r="X59" i="1"/>
  <c r="Y59" i="1"/>
  <c r="Z59" i="1"/>
  <c r="AA59" i="1"/>
  <c r="P59" i="1"/>
  <c r="DE59" i="1"/>
  <c r="DF59" i="1"/>
  <c r="DG59" i="1"/>
  <c r="DH59" i="1"/>
  <c r="DI59" i="1"/>
  <c r="DJ59" i="1"/>
  <c r="DK59" i="1"/>
  <c r="DL59" i="1"/>
  <c r="DM59" i="1"/>
  <c r="DN59" i="1"/>
  <c r="DO59" i="1"/>
  <c r="DD59" i="1"/>
  <c r="EE59" i="1"/>
  <c r="EF59" i="1"/>
  <c r="EG59" i="1"/>
  <c r="EH59" i="1"/>
  <c r="EI59" i="1"/>
  <c r="EJ59" i="1"/>
  <c r="EK59" i="1"/>
  <c r="EL59" i="1"/>
  <c r="EM59" i="1"/>
  <c r="EN59" i="1"/>
  <c r="EO59" i="1"/>
  <c r="ED59" i="1"/>
  <c r="AD12" i="1"/>
  <c r="AE12" i="1"/>
  <c r="AF12" i="1"/>
  <c r="AG12" i="1"/>
  <c r="AH12" i="1"/>
  <c r="AI12" i="1"/>
  <c r="AJ12" i="1"/>
  <c r="AK12" i="1"/>
  <c r="AL12" i="1"/>
  <c r="AM12" i="1"/>
  <c r="AN12" i="1"/>
  <c r="AC12" i="1"/>
  <c r="AD21" i="1"/>
  <c r="AE21" i="1"/>
  <c r="AF21" i="1"/>
  <c r="AG21" i="1"/>
  <c r="AH21" i="1"/>
  <c r="AI21" i="1"/>
  <c r="AJ21" i="1"/>
  <c r="AK21" i="1"/>
  <c r="AL21" i="1"/>
  <c r="AM21" i="1"/>
  <c r="AN21" i="1"/>
  <c r="AC21" i="1"/>
  <c r="AD47" i="1"/>
  <c r="AE47" i="1"/>
  <c r="AF47" i="1"/>
  <c r="AG47" i="1"/>
  <c r="AH47" i="1"/>
  <c r="AI47" i="1"/>
  <c r="AJ47" i="1"/>
  <c r="AK47" i="1"/>
  <c r="AL47" i="1"/>
  <c r="AM47" i="1"/>
  <c r="AN47" i="1"/>
  <c r="AC47" i="1"/>
  <c r="AD53" i="1"/>
  <c r="AE53" i="1"/>
  <c r="AF53" i="1"/>
  <c r="AG53" i="1"/>
  <c r="AH53" i="1"/>
  <c r="AI53" i="1"/>
  <c r="AJ53" i="1"/>
  <c r="AK53" i="1"/>
  <c r="AL53" i="1"/>
  <c r="AM53" i="1"/>
  <c r="AN53" i="1"/>
  <c r="AC53" i="1"/>
  <c r="AD32" i="1"/>
  <c r="AE32" i="1"/>
  <c r="AF32" i="1"/>
  <c r="AG32" i="1"/>
  <c r="AH32" i="1"/>
  <c r="AI32" i="1"/>
  <c r="AJ32" i="1"/>
  <c r="AK32" i="1"/>
  <c r="AL32" i="1"/>
  <c r="AM32" i="1"/>
  <c r="AN32" i="1"/>
  <c r="AC32" i="1"/>
  <c r="AO53" i="1" l="1"/>
  <c r="AO21" i="1"/>
  <c r="AO65" i="1"/>
  <c r="AO32" i="1"/>
  <c r="AO47" i="1"/>
  <c r="AO12" i="1"/>
  <c r="BD58" i="1"/>
  <c r="BE58" i="1"/>
  <c r="BF58" i="1"/>
  <c r="BG58" i="1"/>
  <c r="BH58" i="1"/>
  <c r="BI58" i="1"/>
  <c r="BJ58" i="1"/>
  <c r="BK58" i="1"/>
  <c r="BL58" i="1"/>
  <c r="BM58" i="1"/>
  <c r="BN58" i="1"/>
  <c r="BC58" i="1"/>
  <c r="AQ58" i="1"/>
  <c r="AR58" i="1"/>
  <c r="AS58" i="1"/>
  <c r="AT58" i="1"/>
  <c r="AU58" i="1"/>
  <c r="AV58" i="1"/>
  <c r="AW58" i="1"/>
  <c r="AX58" i="1"/>
  <c r="AY58" i="1"/>
  <c r="AZ58" i="1"/>
  <c r="BA58" i="1"/>
  <c r="AP58" i="1"/>
  <c r="Q57" i="1"/>
  <c r="R57" i="1"/>
  <c r="S57" i="1"/>
  <c r="T57" i="1"/>
  <c r="U57" i="1"/>
  <c r="V57" i="1"/>
  <c r="W57" i="1"/>
  <c r="X57" i="1"/>
  <c r="Y57" i="1"/>
  <c r="Z57" i="1"/>
  <c r="AA57" i="1"/>
  <c r="P57" i="1"/>
  <c r="DE57" i="1"/>
  <c r="DE72" i="1" s="1"/>
  <c r="DE87" i="1" s="1"/>
  <c r="DF57" i="1"/>
  <c r="DF72" i="1" s="1"/>
  <c r="DF87" i="1" s="1"/>
  <c r="DG57" i="1"/>
  <c r="DG72" i="1" s="1"/>
  <c r="DG87" i="1" s="1"/>
  <c r="DH57" i="1"/>
  <c r="DH72" i="1" s="1"/>
  <c r="DH87" i="1" s="1"/>
  <c r="DI57" i="1"/>
  <c r="DI72" i="1" s="1"/>
  <c r="DI87" i="1" s="1"/>
  <c r="DJ57" i="1"/>
  <c r="DJ72" i="1" s="1"/>
  <c r="DJ87" i="1" s="1"/>
  <c r="DK57" i="1"/>
  <c r="DK72" i="1" s="1"/>
  <c r="DK87" i="1" s="1"/>
  <c r="DL57" i="1"/>
  <c r="DL72" i="1" s="1"/>
  <c r="DL87" i="1" s="1"/>
  <c r="DM57" i="1"/>
  <c r="DM72" i="1" s="1"/>
  <c r="DM87" i="1" s="1"/>
  <c r="DN57" i="1"/>
  <c r="DN72" i="1" s="1"/>
  <c r="DN87" i="1" s="1"/>
  <c r="DO57" i="1"/>
  <c r="DO72" i="1" s="1"/>
  <c r="DO87" i="1" s="1"/>
  <c r="DD57" i="1"/>
  <c r="DD72" i="1" s="1"/>
  <c r="DD87" i="1" s="1"/>
  <c r="DR57" i="1"/>
  <c r="DS57" i="1"/>
  <c r="DT57" i="1"/>
  <c r="DU57" i="1"/>
  <c r="DV57" i="1"/>
  <c r="DW57" i="1"/>
  <c r="DX57" i="1"/>
  <c r="DY57" i="1"/>
  <c r="DZ57" i="1"/>
  <c r="EA57" i="1"/>
  <c r="EB57" i="1"/>
  <c r="DQ57" i="1"/>
  <c r="DR48" i="1" l="1"/>
  <c r="DS48" i="1"/>
  <c r="DT48" i="1"/>
  <c r="DU48" i="1"/>
  <c r="DV48" i="1"/>
  <c r="DW48" i="1"/>
  <c r="DQ48" i="1"/>
  <c r="Q20" i="1"/>
  <c r="R20" i="1"/>
  <c r="P20" i="1"/>
  <c r="CD20" i="1"/>
  <c r="CE20" i="1"/>
  <c r="CC20" i="1"/>
  <c r="M20" i="1"/>
  <c r="DR20" i="1"/>
  <c r="DS20" i="1"/>
  <c r="DQ20" i="1"/>
  <c r="G20" i="1"/>
  <c r="G72" i="1" s="1"/>
  <c r="G87" i="1" s="1"/>
  <c r="Q19" i="1"/>
  <c r="R19" i="1"/>
  <c r="S19" i="1"/>
  <c r="T19" i="1"/>
  <c r="U19" i="1"/>
  <c r="V19" i="1"/>
  <c r="W19" i="1"/>
  <c r="X19" i="1"/>
  <c r="Y19" i="1"/>
  <c r="Z19" i="1"/>
  <c r="AA19" i="1"/>
  <c r="P19" i="1"/>
  <c r="EC19" i="1"/>
  <c r="CR43" i="1"/>
  <c r="CS43" i="1"/>
  <c r="CT43" i="1"/>
  <c r="CU43" i="1"/>
  <c r="CV43" i="1"/>
  <c r="CW43" i="1"/>
  <c r="CX43" i="1"/>
  <c r="CY43" i="1"/>
  <c r="CZ43" i="1"/>
  <c r="DA43" i="1"/>
  <c r="DB43" i="1"/>
  <c r="CQ43" i="1"/>
  <c r="Q22" i="1"/>
  <c r="R22" i="1"/>
  <c r="S22" i="1"/>
  <c r="T22" i="1"/>
  <c r="U22" i="1"/>
  <c r="V22" i="1"/>
  <c r="W22" i="1"/>
  <c r="X22" i="1"/>
  <c r="Y22" i="1"/>
  <c r="Z22" i="1"/>
  <c r="AA22" i="1"/>
  <c r="P22" i="1"/>
  <c r="Q7" i="1"/>
  <c r="R7" i="1"/>
  <c r="S7" i="1"/>
  <c r="T7" i="1"/>
  <c r="U7" i="1"/>
  <c r="V7" i="1"/>
  <c r="W7" i="1"/>
  <c r="X7" i="1"/>
  <c r="Y7" i="1"/>
  <c r="Z7" i="1"/>
  <c r="AA7" i="1"/>
  <c r="P7" i="1"/>
  <c r="CR7" i="1"/>
  <c r="CS7" i="1"/>
  <c r="CT7" i="1"/>
  <c r="CU7" i="1"/>
  <c r="CV7" i="1"/>
  <c r="CW7" i="1"/>
  <c r="CX7" i="1"/>
  <c r="CY7" i="1"/>
  <c r="CZ7" i="1"/>
  <c r="DA7" i="1"/>
  <c r="DB7" i="1"/>
  <c r="CQ7" i="1"/>
  <c r="DR14" i="1"/>
  <c r="DS14" i="1"/>
  <c r="DT14" i="1"/>
  <c r="DU14" i="1"/>
  <c r="DV14" i="1"/>
  <c r="DW14" i="1"/>
  <c r="DX14" i="1"/>
  <c r="DY14" i="1"/>
  <c r="DZ14" i="1"/>
  <c r="EA14" i="1"/>
  <c r="EB14" i="1"/>
  <c r="DQ14" i="1"/>
  <c r="Q66" i="1"/>
  <c r="R66" i="1"/>
  <c r="P66" i="1"/>
  <c r="DR66" i="1"/>
  <c r="DS66" i="1"/>
  <c r="DQ66" i="1"/>
  <c r="AD62" i="1"/>
  <c r="AE62" i="1"/>
  <c r="AF62" i="1"/>
  <c r="AG62" i="1"/>
  <c r="AH62" i="1"/>
  <c r="AI62" i="1"/>
  <c r="AJ62" i="1"/>
  <c r="AK62" i="1"/>
  <c r="AL62" i="1"/>
  <c r="AM62" i="1"/>
  <c r="AN62" i="1"/>
  <c r="AC62" i="1"/>
  <c r="DR62" i="1"/>
  <c r="DS62" i="1"/>
  <c r="DT62" i="1"/>
  <c r="DU62" i="1"/>
  <c r="DV62" i="1"/>
  <c r="DW62" i="1"/>
  <c r="DX62" i="1"/>
  <c r="DY62" i="1"/>
  <c r="DZ62" i="1"/>
  <c r="EA62" i="1"/>
  <c r="EB62" i="1"/>
  <c r="DQ62" i="1"/>
  <c r="CR61" i="1"/>
  <c r="CS61" i="1"/>
  <c r="CT61" i="1"/>
  <c r="CU61" i="1"/>
  <c r="CV61" i="1"/>
  <c r="CW61" i="1"/>
  <c r="CX61" i="1"/>
  <c r="CY61" i="1"/>
  <c r="CZ61" i="1"/>
  <c r="DA61" i="1"/>
  <c r="DB61" i="1"/>
  <c r="CQ61" i="1"/>
  <c r="AD61" i="1"/>
  <c r="AE61" i="1"/>
  <c r="AF61" i="1"/>
  <c r="AG61" i="1"/>
  <c r="AH61" i="1"/>
  <c r="AI61" i="1"/>
  <c r="AJ61" i="1"/>
  <c r="AK61" i="1"/>
  <c r="AL61" i="1"/>
  <c r="AM61" i="1"/>
  <c r="AN61" i="1"/>
  <c r="AC61" i="1"/>
  <c r="CR53" i="1"/>
  <c r="CS53" i="1"/>
  <c r="CT53" i="1"/>
  <c r="CU53" i="1"/>
  <c r="CV53" i="1"/>
  <c r="CW53" i="1"/>
  <c r="CX53" i="1"/>
  <c r="CY53" i="1"/>
  <c r="CZ53" i="1"/>
  <c r="DA53" i="1"/>
  <c r="DB53" i="1"/>
  <c r="CQ53" i="1"/>
  <c r="EE2" i="1"/>
  <c r="EF2" i="1"/>
  <c r="EG2" i="1"/>
  <c r="EH2" i="1"/>
  <c r="EI2" i="1"/>
  <c r="EJ2" i="1"/>
  <c r="EK2" i="1"/>
  <c r="EL2" i="1"/>
  <c r="EM2" i="1"/>
  <c r="EN2" i="1"/>
  <c r="EO2" i="1"/>
  <c r="ED2" i="1"/>
  <c r="EE47" i="1"/>
  <c r="EF47" i="1"/>
  <c r="EG47" i="1"/>
  <c r="EH47" i="1"/>
  <c r="EI47" i="1"/>
  <c r="EJ47" i="1"/>
  <c r="EK47" i="1"/>
  <c r="EL47" i="1"/>
  <c r="EM47" i="1"/>
  <c r="EN47" i="1"/>
  <c r="EO47" i="1"/>
  <c r="ED47" i="1"/>
  <c r="I47" i="1"/>
  <c r="DR44" i="1"/>
  <c r="DS44" i="1"/>
  <c r="DT44" i="1"/>
  <c r="DU44" i="1"/>
  <c r="DV44" i="1"/>
  <c r="DW44" i="1"/>
  <c r="DX44" i="1"/>
  <c r="DY44" i="1"/>
  <c r="DZ44" i="1"/>
  <c r="EA44" i="1"/>
  <c r="EB44" i="1"/>
  <c r="DQ44" i="1"/>
  <c r="Q68" i="1"/>
  <c r="R68" i="1"/>
  <c r="S68" i="1"/>
  <c r="T68" i="1"/>
  <c r="U68" i="1"/>
  <c r="V68" i="1"/>
  <c r="W68" i="1"/>
  <c r="X68" i="1"/>
  <c r="Y68" i="1"/>
  <c r="Z68" i="1"/>
  <c r="AA68" i="1"/>
  <c r="P68" i="1"/>
  <c r="CR42" i="1"/>
  <c r="CS42" i="1"/>
  <c r="CT42" i="1"/>
  <c r="CU42" i="1"/>
  <c r="CV42" i="1"/>
  <c r="CW42" i="1"/>
  <c r="CX42" i="1"/>
  <c r="CY42" i="1"/>
  <c r="CZ42" i="1"/>
  <c r="DA42" i="1"/>
  <c r="DB42" i="1"/>
  <c r="CQ42" i="1"/>
  <c r="AQ42" i="1"/>
  <c r="AQ72" i="1" s="1"/>
  <c r="AQ87" i="1" s="1"/>
  <c r="AR42" i="1"/>
  <c r="AS42" i="1"/>
  <c r="AT42" i="1"/>
  <c r="AU42" i="1"/>
  <c r="AV42" i="1"/>
  <c r="AV72" i="1" s="1"/>
  <c r="AV87" i="1" s="1"/>
  <c r="AW42" i="1"/>
  <c r="AX42" i="1"/>
  <c r="AX72" i="1" s="1"/>
  <c r="AX87" i="1" s="1"/>
  <c r="AY42" i="1"/>
  <c r="AY72" i="1" s="1"/>
  <c r="AY87" i="1" s="1"/>
  <c r="AZ42" i="1"/>
  <c r="BA42" i="1"/>
  <c r="BA72" i="1" s="1"/>
  <c r="BA87" i="1" s="1"/>
  <c r="AP42" i="1"/>
  <c r="AP72" i="1" s="1"/>
  <c r="AP87" i="1" s="1"/>
  <c r="P69" i="1"/>
  <c r="Q69" i="1"/>
  <c r="R69" i="1"/>
  <c r="S69" i="1"/>
  <c r="T69" i="1"/>
  <c r="U69" i="1"/>
  <c r="V69" i="1"/>
  <c r="W69" i="1"/>
  <c r="X69" i="1"/>
  <c r="Y69" i="1"/>
  <c r="Z69" i="1"/>
  <c r="AA69" i="1"/>
  <c r="Q45" i="1"/>
  <c r="R45" i="1"/>
  <c r="S45" i="1"/>
  <c r="T45" i="1"/>
  <c r="U45" i="1"/>
  <c r="V45" i="1"/>
  <c r="W45" i="1"/>
  <c r="X45" i="1"/>
  <c r="Y45" i="1"/>
  <c r="Z45" i="1"/>
  <c r="AA45" i="1"/>
  <c r="P45" i="1"/>
  <c r="Q36" i="1"/>
  <c r="R36" i="1"/>
  <c r="S36" i="1"/>
  <c r="T36" i="1"/>
  <c r="U36" i="1"/>
  <c r="V36" i="1"/>
  <c r="W36" i="1"/>
  <c r="X36" i="1"/>
  <c r="Y36" i="1"/>
  <c r="Z36" i="1"/>
  <c r="AA36" i="1"/>
  <c r="P36" i="1"/>
  <c r="Q35" i="1"/>
  <c r="R35" i="1"/>
  <c r="S35" i="1"/>
  <c r="T35" i="1"/>
  <c r="U35" i="1"/>
  <c r="V35" i="1"/>
  <c r="W35" i="1"/>
  <c r="X35" i="1"/>
  <c r="Y35" i="1"/>
  <c r="Z35" i="1"/>
  <c r="AA35" i="1"/>
  <c r="P35" i="1"/>
  <c r="Q16" i="1"/>
  <c r="R16" i="1"/>
  <c r="S16" i="1"/>
  <c r="T16" i="1"/>
  <c r="U16" i="1"/>
  <c r="V16" i="1"/>
  <c r="W16" i="1"/>
  <c r="X16" i="1"/>
  <c r="Y16" i="1"/>
  <c r="Z16" i="1"/>
  <c r="AA16" i="1"/>
  <c r="P16" i="1"/>
  <c r="BD16" i="1"/>
  <c r="BE16" i="1"/>
  <c r="BF16" i="1"/>
  <c r="BG16" i="1"/>
  <c r="BH16" i="1"/>
  <c r="BI16" i="1"/>
  <c r="BJ16" i="1"/>
  <c r="BK16" i="1"/>
  <c r="BL16" i="1"/>
  <c r="BM16" i="1"/>
  <c r="BN16" i="1"/>
  <c r="BC16" i="1"/>
  <c r="BQ72" i="1"/>
  <c r="BQ87" i="1" s="1"/>
  <c r="BQ91" i="1" s="1"/>
  <c r="BR72" i="1"/>
  <c r="BR87" i="1" s="1"/>
  <c r="BR91" i="1" s="1"/>
  <c r="BS72" i="1"/>
  <c r="BS87" i="1" s="1"/>
  <c r="BS91" i="1" s="1"/>
  <c r="BT72" i="1"/>
  <c r="BT87" i="1" s="1"/>
  <c r="BT91" i="1" s="1"/>
  <c r="BU72" i="1"/>
  <c r="BU87" i="1" s="1"/>
  <c r="BU91" i="1" s="1"/>
  <c r="BV72" i="1"/>
  <c r="BV87" i="1" s="1"/>
  <c r="BV91" i="1" s="1"/>
  <c r="BW72" i="1"/>
  <c r="BW87" i="1" s="1"/>
  <c r="BW91" i="1" s="1"/>
  <c r="BX72" i="1"/>
  <c r="BX87" i="1" s="1"/>
  <c r="BX91" i="1" s="1"/>
  <c r="BY72" i="1"/>
  <c r="BY87" i="1" s="1"/>
  <c r="BY91" i="1" s="1"/>
  <c r="BZ72" i="1"/>
  <c r="BZ87" i="1" s="1"/>
  <c r="BZ91" i="1" s="1"/>
  <c r="CA72" i="1"/>
  <c r="CA87" i="1" s="1"/>
  <c r="CA91" i="1" s="1"/>
  <c r="BP72" i="1"/>
  <c r="BP87" i="1" s="1"/>
  <c r="BP91" i="1" s="1"/>
  <c r="DR40" i="1"/>
  <c r="DS40" i="1"/>
  <c r="DQ40" i="1"/>
  <c r="CR39" i="1"/>
  <c r="CS39" i="1"/>
  <c r="CT39" i="1"/>
  <c r="CU39" i="1"/>
  <c r="CV39" i="1"/>
  <c r="CW39" i="1"/>
  <c r="CX39" i="1"/>
  <c r="CY39" i="1"/>
  <c r="CZ39" i="1"/>
  <c r="DA39" i="1"/>
  <c r="DB39" i="1"/>
  <c r="CQ39" i="1"/>
  <c r="CR32" i="1"/>
  <c r="CS32" i="1"/>
  <c r="CT32" i="1"/>
  <c r="CU32" i="1"/>
  <c r="CV32" i="1"/>
  <c r="CW32" i="1"/>
  <c r="CX32" i="1"/>
  <c r="CY32" i="1"/>
  <c r="CZ32" i="1"/>
  <c r="DA32" i="1"/>
  <c r="DB32" i="1"/>
  <c r="CQ32" i="1"/>
  <c r="BD37" i="1"/>
  <c r="BE37" i="1"/>
  <c r="BF37" i="1"/>
  <c r="BG37" i="1"/>
  <c r="BH37" i="1"/>
  <c r="BI37" i="1"/>
  <c r="BJ37" i="1"/>
  <c r="BK37" i="1"/>
  <c r="BL37" i="1"/>
  <c r="BM37" i="1"/>
  <c r="BN37" i="1"/>
  <c r="BC37" i="1"/>
  <c r="DR37" i="1"/>
  <c r="DS37" i="1"/>
  <c r="DT37" i="1"/>
  <c r="DU37" i="1"/>
  <c r="DV37" i="1"/>
  <c r="DW37" i="1"/>
  <c r="DX37" i="1"/>
  <c r="DY37" i="1"/>
  <c r="DZ37" i="1"/>
  <c r="EA37" i="1"/>
  <c r="EB37" i="1"/>
  <c r="DQ37" i="1"/>
  <c r="DY48" i="1"/>
  <c r="DZ48" i="1"/>
  <c r="EA48" i="1"/>
  <c r="EB48" i="1"/>
  <c r="DX48" i="1"/>
  <c r="Q28" i="1"/>
  <c r="R28" i="1"/>
  <c r="S28" i="1"/>
  <c r="T28" i="1"/>
  <c r="U28" i="1"/>
  <c r="V28" i="1"/>
  <c r="W28" i="1"/>
  <c r="X28" i="1"/>
  <c r="Y28" i="1"/>
  <c r="Z28" i="1"/>
  <c r="AA28" i="1"/>
  <c r="P28" i="1"/>
  <c r="EN72" i="1" l="1"/>
  <c r="EN87" i="1" s="1"/>
  <c r="EI72" i="1"/>
  <c r="EI87" i="1" s="1"/>
  <c r="EF72" i="1"/>
  <c r="EF87" i="1" s="1"/>
  <c r="AW72" i="1"/>
  <c r="AW87" i="1" s="1"/>
  <c r="AU72" i="1"/>
  <c r="AU87" i="1" s="1"/>
  <c r="EL72" i="1"/>
  <c r="EL87" i="1" s="1"/>
  <c r="AO62" i="1"/>
  <c r="AT72" i="1"/>
  <c r="AT87" i="1" s="1"/>
  <c r="AS72" i="1"/>
  <c r="AS87" i="1" s="1"/>
  <c r="AZ72" i="1"/>
  <c r="AZ87" i="1" s="1"/>
  <c r="AR72" i="1"/>
  <c r="AR87" i="1" s="1"/>
  <c r="EM72" i="1"/>
  <c r="EM87" i="1" s="1"/>
  <c r="EE72" i="1"/>
  <c r="EE87" i="1" s="1"/>
  <c r="EK72" i="1"/>
  <c r="EK87" i="1" s="1"/>
  <c r="EJ72" i="1"/>
  <c r="EJ87" i="1" s="1"/>
  <c r="ED72" i="1"/>
  <c r="ED87" i="1" s="1"/>
  <c r="EH72" i="1"/>
  <c r="EH87" i="1" s="1"/>
  <c r="AO61" i="1"/>
  <c r="EO72" i="1"/>
  <c r="EO87" i="1" s="1"/>
  <c r="EG72" i="1"/>
  <c r="EG87" i="1" s="1"/>
  <c r="CR56" i="1"/>
  <c r="CS56" i="1"/>
  <c r="CT56" i="1"/>
  <c r="CU56" i="1"/>
  <c r="CV56" i="1"/>
  <c r="CW56" i="1"/>
  <c r="CX56" i="1"/>
  <c r="CY56" i="1"/>
  <c r="CZ56" i="1"/>
  <c r="DA56" i="1"/>
  <c r="DB56" i="1"/>
  <c r="CQ56" i="1"/>
  <c r="BD72" i="1"/>
  <c r="BD87" i="1" s="1"/>
  <c r="BE72" i="1"/>
  <c r="BE87" i="1" s="1"/>
  <c r="BF72" i="1"/>
  <c r="BF87" i="1" s="1"/>
  <c r="BG72" i="1"/>
  <c r="BG87" i="1" s="1"/>
  <c r="BH72" i="1"/>
  <c r="BH87" i="1" s="1"/>
  <c r="BI72" i="1"/>
  <c r="BI87" i="1" s="1"/>
  <c r="BJ72" i="1"/>
  <c r="BJ87" i="1" s="1"/>
  <c r="BK72" i="1"/>
  <c r="BK87" i="1" s="1"/>
  <c r="BL72" i="1"/>
  <c r="BL87" i="1" s="1"/>
  <c r="BM72" i="1"/>
  <c r="BM87" i="1" s="1"/>
  <c r="BN72" i="1"/>
  <c r="BN87" i="1" s="1"/>
  <c r="BC72" i="1"/>
  <c r="BC87" i="1" s="1"/>
  <c r="Q27" i="1"/>
  <c r="R27" i="1"/>
  <c r="S27" i="1"/>
  <c r="T27" i="1"/>
  <c r="U27" i="1"/>
  <c r="V27" i="1"/>
  <c r="W27" i="1"/>
  <c r="X27" i="1"/>
  <c r="Y27" i="1"/>
  <c r="Z27" i="1"/>
  <c r="AA27" i="1"/>
  <c r="P27" i="1"/>
  <c r="CR27" i="1"/>
  <c r="CS27" i="1"/>
  <c r="CT27" i="1"/>
  <c r="CU27" i="1"/>
  <c r="CV27" i="1"/>
  <c r="CW27" i="1"/>
  <c r="CX27" i="1"/>
  <c r="CY27" i="1"/>
  <c r="CZ27" i="1"/>
  <c r="DA27" i="1"/>
  <c r="DB27" i="1"/>
  <c r="CQ27" i="1"/>
  <c r="M26" i="1"/>
  <c r="M27" i="1"/>
  <c r="M28" i="1"/>
  <c r="M29" i="1"/>
  <c r="M48" i="1"/>
  <c r="M32" i="1"/>
  <c r="M37" i="1"/>
  <c r="M39" i="1"/>
  <c r="M40" i="1"/>
  <c r="M41" i="1"/>
  <c r="M44" i="1"/>
  <c r="M47" i="1"/>
  <c r="M51" i="1"/>
  <c r="M53" i="1"/>
  <c r="M56" i="1"/>
  <c r="M57" i="1"/>
  <c r="M58" i="1"/>
  <c r="M59" i="1"/>
  <c r="M60" i="1"/>
  <c r="M61" i="1"/>
  <c r="M62" i="1"/>
  <c r="M63" i="1"/>
  <c r="M65" i="1"/>
  <c r="M66" i="1"/>
  <c r="M68" i="1"/>
  <c r="M14" i="1"/>
  <c r="M5" i="1"/>
  <c r="M8" i="1"/>
  <c r="M6" i="1"/>
  <c r="M7" i="1"/>
  <c r="M22" i="1"/>
  <c r="M43" i="1"/>
  <c r="M42" i="1"/>
  <c r="M45" i="1"/>
  <c r="M69" i="1"/>
  <c r="M36" i="1"/>
  <c r="M21" i="1"/>
  <c r="M12" i="1"/>
  <c r="M35" i="1"/>
  <c r="M16" i="1"/>
  <c r="Q26" i="1"/>
  <c r="R26" i="1"/>
  <c r="S26" i="1"/>
  <c r="T26" i="1"/>
  <c r="U26" i="1"/>
  <c r="V26" i="1"/>
  <c r="W26" i="1"/>
  <c r="X26" i="1"/>
  <c r="Y26" i="1"/>
  <c r="Z26" i="1"/>
  <c r="AA26" i="1"/>
  <c r="P26" i="1"/>
  <c r="DR26" i="1"/>
  <c r="DS26" i="1"/>
  <c r="DT26" i="1"/>
  <c r="DU26" i="1"/>
  <c r="DV26" i="1"/>
  <c r="DW26" i="1"/>
  <c r="DX26" i="1"/>
  <c r="DY26" i="1"/>
  <c r="DZ26" i="1"/>
  <c r="EA26" i="1"/>
  <c r="EB26" i="1"/>
  <c r="DQ26" i="1"/>
  <c r="CR29" i="1"/>
  <c r="CS29" i="1"/>
  <c r="CT29" i="1"/>
  <c r="CU29" i="1"/>
  <c r="CV29" i="1"/>
  <c r="CW29" i="1"/>
  <c r="CX29" i="1"/>
  <c r="CY29" i="1"/>
  <c r="CZ29" i="1"/>
  <c r="DA29" i="1"/>
  <c r="DB29" i="1"/>
  <c r="CQ29" i="1"/>
  <c r="Q29" i="1"/>
  <c r="R29" i="1"/>
  <c r="S29" i="1"/>
  <c r="T29" i="1"/>
  <c r="U29" i="1"/>
  <c r="V29" i="1"/>
  <c r="W29" i="1"/>
  <c r="X29" i="1"/>
  <c r="Y29" i="1"/>
  <c r="Z29" i="1"/>
  <c r="AA29" i="1"/>
  <c r="P29" i="1"/>
  <c r="DR24" i="1"/>
  <c r="DS24" i="1"/>
  <c r="DT24" i="1"/>
  <c r="DU24" i="1"/>
  <c r="DV24" i="1"/>
  <c r="DW24" i="1"/>
  <c r="DX24" i="1"/>
  <c r="DY24" i="1"/>
  <c r="DZ24" i="1"/>
  <c r="EA24" i="1"/>
  <c r="EB24" i="1"/>
  <c r="DQ24" i="1"/>
  <c r="CD72" i="1"/>
  <c r="CD87" i="1" s="1"/>
  <c r="CD91" i="1" s="1"/>
  <c r="CE72" i="1"/>
  <c r="CE87" i="1" s="1"/>
  <c r="CE91" i="1" s="1"/>
  <c r="CF72" i="1"/>
  <c r="CF87" i="1" s="1"/>
  <c r="CF91" i="1" s="1"/>
  <c r="CG72" i="1"/>
  <c r="CG87" i="1" s="1"/>
  <c r="CG91" i="1" s="1"/>
  <c r="CH72" i="1"/>
  <c r="CH87" i="1" s="1"/>
  <c r="CH91" i="1" s="1"/>
  <c r="CI72" i="1"/>
  <c r="CI87" i="1" s="1"/>
  <c r="CI91" i="1" s="1"/>
  <c r="CJ72" i="1"/>
  <c r="CJ87" i="1" s="1"/>
  <c r="CJ91" i="1" s="1"/>
  <c r="CK72" i="1"/>
  <c r="CK87" i="1" s="1"/>
  <c r="CK91" i="1" s="1"/>
  <c r="CL72" i="1"/>
  <c r="CL87" i="1" s="1"/>
  <c r="CL91" i="1" s="1"/>
  <c r="CM72" i="1"/>
  <c r="CM87" i="1" s="1"/>
  <c r="CM91" i="1" s="1"/>
  <c r="CN72" i="1"/>
  <c r="CN87" i="1" s="1"/>
  <c r="CN91" i="1" s="1"/>
  <c r="CC72" i="1"/>
  <c r="CC87" i="1" s="1"/>
  <c r="CC91" i="1" s="1"/>
  <c r="Q23" i="1"/>
  <c r="R23" i="1"/>
  <c r="S23" i="1"/>
  <c r="T23" i="1"/>
  <c r="U23" i="1"/>
  <c r="V23" i="1"/>
  <c r="W23" i="1"/>
  <c r="X23" i="1"/>
  <c r="Y23" i="1"/>
  <c r="Z23" i="1"/>
  <c r="AA23" i="1"/>
  <c r="P23" i="1"/>
  <c r="I19" i="1"/>
  <c r="I20" i="1"/>
  <c r="I23" i="1"/>
  <c r="I24" i="1"/>
  <c r="I26" i="1"/>
  <c r="I27" i="1"/>
  <c r="I28" i="1"/>
  <c r="I29" i="1"/>
  <c r="I48" i="1"/>
  <c r="I32" i="1"/>
  <c r="I37" i="1"/>
  <c r="I39" i="1"/>
  <c r="I40" i="1"/>
  <c r="I41" i="1"/>
  <c r="I44" i="1"/>
  <c r="I51" i="1"/>
  <c r="I53" i="1"/>
  <c r="I56" i="1"/>
  <c r="I57" i="1"/>
  <c r="I58" i="1"/>
  <c r="I59" i="1"/>
  <c r="I60" i="1"/>
  <c r="I61" i="1"/>
  <c r="I62" i="1"/>
  <c r="I63" i="1"/>
  <c r="I65" i="1"/>
  <c r="I66" i="1"/>
  <c r="I68" i="1"/>
  <c r="I14" i="1"/>
  <c r="I5" i="1"/>
  <c r="I8" i="1"/>
  <c r="I6" i="1"/>
  <c r="I7" i="1"/>
  <c r="I22" i="1"/>
  <c r="I43" i="1"/>
  <c r="I42" i="1"/>
  <c r="I45" i="1"/>
  <c r="I69" i="1"/>
  <c r="I36" i="1"/>
  <c r="I21" i="1"/>
  <c r="I12" i="1"/>
  <c r="I35" i="1"/>
  <c r="I16" i="1"/>
  <c r="M15" i="1"/>
  <c r="M19" i="1"/>
  <c r="M23" i="1"/>
  <c r="M24" i="1"/>
  <c r="AB15" i="1"/>
  <c r="AB19" i="1"/>
  <c r="AB20" i="1"/>
  <c r="AB28" i="1"/>
  <c r="AB48" i="1"/>
  <c r="AB32" i="1"/>
  <c r="AB37" i="1"/>
  <c r="AB39" i="1"/>
  <c r="AB40" i="1"/>
  <c r="AB41" i="1"/>
  <c r="AB44" i="1"/>
  <c r="AB47" i="1"/>
  <c r="AB51" i="1"/>
  <c r="AB53" i="1"/>
  <c r="AB57" i="1"/>
  <c r="AB58" i="1"/>
  <c r="AB59" i="1"/>
  <c r="AB60" i="1"/>
  <c r="AB61" i="1"/>
  <c r="AB62" i="1"/>
  <c r="AB63" i="1"/>
  <c r="AB65" i="1"/>
  <c r="AB66" i="1"/>
  <c r="AB68" i="1"/>
  <c r="AB14" i="1"/>
  <c r="AB5" i="1"/>
  <c r="AB8" i="1"/>
  <c r="AB6" i="1"/>
  <c r="AB7" i="1"/>
  <c r="AB22" i="1"/>
  <c r="AB43" i="1"/>
  <c r="AB42" i="1"/>
  <c r="AB45" i="1"/>
  <c r="AB69" i="1"/>
  <c r="AB36" i="1"/>
  <c r="AB21" i="1"/>
  <c r="AB12" i="1"/>
  <c r="AB35" i="1"/>
  <c r="AB16" i="1"/>
  <c r="AB4" i="1"/>
  <c r="AB10" i="1"/>
  <c r="AB13" i="1"/>
  <c r="AB17" i="1"/>
  <c r="AB18" i="1"/>
  <c r="AB25" i="1"/>
  <c r="AB30" i="1"/>
  <c r="AB33" i="1"/>
  <c r="AB34" i="1"/>
  <c r="AB38" i="1"/>
  <c r="AB46" i="1"/>
  <c r="AB49" i="1"/>
  <c r="AB52" i="1"/>
  <c r="AB54" i="1"/>
  <c r="AB55" i="1"/>
  <c r="AB64" i="1"/>
  <c r="AB67" i="1"/>
  <c r="AB70" i="1"/>
  <c r="AB31" i="1"/>
  <c r="DR15" i="1"/>
  <c r="DS15" i="1"/>
  <c r="DT15" i="1"/>
  <c r="DU15" i="1"/>
  <c r="DV15" i="1"/>
  <c r="DW15" i="1"/>
  <c r="DX15" i="1"/>
  <c r="DY15" i="1"/>
  <c r="DZ15" i="1"/>
  <c r="EA15" i="1"/>
  <c r="EB15" i="1"/>
  <c r="DQ15" i="1"/>
  <c r="AD15" i="1"/>
  <c r="AD72" i="1" s="1"/>
  <c r="AD87" i="1" s="1"/>
  <c r="AD91" i="1" s="1"/>
  <c r="AD93" i="1" s="1"/>
  <c r="AE15" i="1"/>
  <c r="AE72" i="1" s="1"/>
  <c r="AE87" i="1" s="1"/>
  <c r="AE91" i="1" s="1"/>
  <c r="AE93" i="1" s="1"/>
  <c r="AF15" i="1"/>
  <c r="AF72" i="1" s="1"/>
  <c r="AF87" i="1" s="1"/>
  <c r="AF91" i="1" s="1"/>
  <c r="AF93" i="1" s="1"/>
  <c r="AG15" i="1"/>
  <c r="AG72" i="1" s="1"/>
  <c r="AG87" i="1" s="1"/>
  <c r="AG91" i="1" s="1"/>
  <c r="AG93" i="1" s="1"/>
  <c r="AH15" i="1"/>
  <c r="AH72" i="1" s="1"/>
  <c r="AH87" i="1" s="1"/>
  <c r="AH91" i="1" s="1"/>
  <c r="AH93" i="1" s="1"/>
  <c r="AI15" i="1"/>
  <c r="AI72" i="1" s="1"/>
  <c r="AI87" i="1" s="1"/>
  <c r="AI91" i="1" s="1"/>
  <c r="AI93" i="1" s="1"/>
  <c r="AJ15" i="1"/>
  <c r="AJ72" i="1" s="1"/>
  <c r="AJ87" i="1" s="1"/>
  <c r="AJ91" i="1" s="1"/>
  <c r="AJ93" i="1" s="1"/>
  <c r="AK15" i="1"/>
  <c r="AK72" i="1" s="1"/>
  <c r="AK87" i="1" s="1"/>
  <c r="AK91" i="1" s="1"/>
  <c r="AK93" i="1" s="1"/>
  <c r="AL15" i="1"/>
  <c r="AL72" i="1" s="1"/>
  <c r="AL87" i="1" s="1"/>
  <c r="AL91" i="1" s="1"/>
  <c r="AL93" i="1" s="1"/>
  <c r="AM15" i="1"/>
  <c r="AM72" i="1" s="1"/>
  <c r="AM87" i="1" s="1"/>
  <c r="AM91" i="1" s="1"/>
  <c r="AM93" i="1" s="1"/>
  <c r="AN15" i="1"/>
  <c r="AN72" i="1" s="1"/>
  <c r="AN87" i="1" s="1"/>
  <c r="AN91" i="1" s="1"/>
  <c r="AN93" i="1" s="1"/>
  <c r="AC15" i="1"/>
  <c r="I15" i="1"/>
  <c r="AO15" i="1" l="1"/>
  <c r="AO72" i="1" s="1"/>
  <c r="AO87" i="1" s="1"/>
  <c r="AO91" i="1" s="1"/>
  <c r="AO93" i="1" s="1"/>
  <c r="AC72" i="1"/>
  <c r="AC87" i="1" s="1"/>
  <c r="AC91" i="1" s="1"/>
  <c r="AC93" i="1" s="1"/>
  <c r="AB56" i="1"/>
  <c r="AB24" i="1"/>
  <c r="AB29" i="1"/>
  <c r="AB27" i="1"/>
  <c r="AB23" i="1"/>
  <c r="AB26" i="1"/>
  <c r="M11" i="1" l="1"/>
  <c r="I11" i="1"/>
  <c r="I9" i="1"/>
  <c r="M9" i="1"/>
  <c r="CO3" i="1"/>
  <c r="CO4" i="1"/>
  <c r="CO9" i="1"/>
  <c r="CO10" i="1"/>
  <c r="CO11" i="1"/>
  <c r="CO13" i="1"/>
  <c r="CO15" i="1"/>
  <c r="CO17" i="1"/>
  <c r="CO18" i="1"/>
  <c r="CO19" i="1"/>
  <c r="CO20" i="1"/>
  <c r="CO23" i="1"/>
  <c r="CO24" i="1"/>
  <c r="CO25" i="1"/>
  <c r="CO26" i="1"/>
  <c r="CO27" i="1"/>
  <c r="CO28" i="1"/>
  <c r="CO29" i="1"/>
  <c r="CO48" i="1"/>
  <c r="CO30" i="1"/>
  <c r="CO32" i="1"/>
  <c r="CO33" i="1"/>
  <c r="CO34" i="1"/>
  <c r="CO37" i="1"/>
  <c r="CO38" i="1"/>
  <c r="CO39" i="1"/>
  <c r="CO40" i="1"/>
  <c r="CO41" i="1"/>
  <c r="CO44" i="1"/>
  <c r="CO46" i="1"/>
  <c r="CO47" i="1"/>
  <c r="CO49" i="1"/>
  <c r="CO51" i="1"/>
  <c r="CO52" i="1"/>
  <c r="CO53" i="1"/>
  <c r="CO54" i="1"/>
  <c r="CO55" i="1"/>
  <c r="CO56" i="1"/>
  <c r="CO57" i="1"/>
  <c r="CO58" i="1"/>
  <c r="CO59" i="1"/>
  <c r="CO60" i="1"/>
  <c r="CO61" i="1"/>
  <c r="CO62" i="1"/>
  <c r="CO63" i="1"/>
  <c r="CO64" i="1"/>
  <c r="CO65" i="1"/>
  <c r="CO66" i="1"/>
  <c r="CO67" i="1"/>
  <c r="CO68" i="1"/>
  <c r="CO70" i="1"/>
  <c r="CO14" i="1"/>
  <c r="CO31" i="1"/>
  <c r="CO5" i="1"/>
  <c r="CO6" i="1"/>
  <c r="CO7" i="1"/>
  <c r="CO22" i="1"/>
  <c r="CO42" i="1"/>
  <c r="CO45" i="1"/>
  <c r="CO69" i="1"/>
  <c r="CO36" i="1"/>
  <c r="CO21" i="1"/>
  <c r="CO12" i="1"/>
  <c r="CO35" i="1"/>
  <c r="CO16" i="1"/>
  <c r="CO2" i="1"/>
  <c r="CB3" i="1"/>
  <c r="CB4" i="1"/>
  <c r="CB9" i="1"/>
  <c r="CB10" i="1"/>
  <c r="CB11" i="1"/>
  <c r="CB13" i="1"/>
  <c r="CB15" i="1"/>
  <c r="CB17" i="1"/>
  <c r="CB18" i="1"/>
  <c r="CB19" i="1"/>
  <c r="CB20" i="1"/>
  <c r="CB23" i="1"/>
  <c r="CB24" i="1"/>
  <c r="CB25" i="1"/>
  <c r="CB26" i="1"/>
  <c r="CB27" i="1"/>
  <c r="CB28" i="1"/>
  <c r="CB29" i="1"/>
  <c r="CB48" i="1"/>
  <c r="CB30" i="1"/>
  <c r="CB32" i="1"/>
  <c r="CB33" i="1"/>
  <c r="CB34" i="1"/>
  <c r="CB37" i="1"/>
  <c r="CB38" i="1"/>
  <c r="CB39" i="1"/>
  <c r="CB40" i="1"/>
  <c r="CB41" i="1"/>
  <c r="CB44" i="1"/>
  <c r="CB46" i="1"/>
  <c r="CB47" i="1"/>
  <c r="CB49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70" i="1"/>
  <c r="CB14" i="1"/>
  <c r="CB31" i="1"/>
  <c r="CB5" i="1"/>
  <c r="CB8" i="1"/>
  <c r="CB6" i="1"/>
  <c r="CB7" i="1"/>
  <c r="CB22" i="1"/>
  <c r="CB43" i="1"/>
  <c r="CB42" i="1"/>
  <c r="CB45" i="1"/>
  <c r="CB69" i="1"/>
  <c r="CB36" i="1"/>
  <c r="CB21" i="1"/>
  <c r="CB12" i="1"/>
  <c r="CB35" i="1"/>
  <c r="CB16" i="1"/>
  <c r="CB2" i="1"/>
  <c r="BO3" i="1"/>
  <c r="BO4" i="1"/>
  <c r="BO9" i="1"/>
  <c r="BO10" i="1"/>
  <c r="BO11" i="1"/>
  <c r="BO13" i="1"/>
  <c r="BO15" i="1"/>
  <c r="BO17" i="1"/>
  <c r="BO18" i="1"/>
  <c r="BO19" i="1"/>
  <c r="BO20" i="1"/>
  <c r="BO23" i="1"/>
  <c r="BO24" i="1"/>
  <c r="BO25" i="1"/>
  <c r="BO26" i="1"/>
  <c r="BO27" i="1"/>
  <c r="BO28" i="1"/>
  <c r="BO29" i="1"/>
  <c r="BO48" i="1"/>
  <c r="BO30" i="1"/>
  <c r="BO32" i="1"/>
  <c r="BO33" i="1"/>
  <c r="BO34" i="1"/>
  <c r="BO37" i="1"/>
  <c r="BO38" i="1"/>
  <c r="BO39" i="1"/>
  <c r="BO40" i="1"/>
  <c r="BO41" i="1"/>
  <c r="BO44" i="1"/>
  <c r="BO46" i="1"/>
  <c r="BO47" i="1"/>
  <c r="BO49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70" i="1"/>
  <c r="BO14" i="1"/>
  <c r="BO31" i="1"/>
  <c r="BO5" i="1"/>
  <c r="BO8" i="1"/>
  <c r="BO6" i="1"/>
  <c r="BO7" i="1"/>
  <c r="BO22" i="1"/>
  <c r="BO43" i="1"/>
  <c r="BO42" i="1"/>
  <c r="BO45" i="1"/>
  <c r="BO69" i="1"/>
  <c r="BO36" i="1"/>
  <c r="BO21" i="1"/>
  <c r="BO12" i="1"/>
  <c r="BO35" i="1"/>
  <c r="BO16" i="1"/>
  <c r="BO2" i="1"/>
  <c r="BB3" i="1"/>
  <c r="BB4" i="1"/>
  <c r="BB9" i="1"/>
  <c r="BB10" i="1"/>
  <c r="BB11" i="1"/>
  <c r="BB13" i="1"/>
  <c r="BB15" i="1"/>
  <c r="BB17" i="1"/>
  <c r="BB18" i="1"/>
  <c r="O18" i="1" s="1"/>
  <c r="BB19" i="1"/>
  <c r="BB20" i="1"/>
  <c r="BB23" i="1"/>
  <c r="BB24" i="1"/>
  <c r="BB25" i="1"/>
  <c r="BB26" i="1"/>
  <c r="BB27" i="1"/>
  <c r="BB28" i="1"/>
  <c r="O28" i="1" s="1"/>
  <c r="J28" i="1" s="1"/>
  <c r="BB29" i="1"/>
  <c r="BB48" i="1"/>
  <c r="BB30" i="1"/>
  <c r="BB32" i="1"/>
  <c r="BB33" i="1"/>
  <c r="BB34" i="1"/>
  <c r="BB37" i="1"/>
  <c r="BB38" i="1"/>
  <c r="BB39" i="1"/>
  <c r="BB40" i="1"/>
  <c r="BB41" i="1"/>
  <c r="BB44" i="1"/>
  <c r="BB46" i="1"/>
  <c r="BB47" i="1"/>
  <c r="BB49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O67" i="1" s="1"/>
  <c r="BB68" i="1"/>
  <c r="BB70" i="1"/>
  <c r="BB14" i="1"/>
  <c r="BB31" i="1"/>
  <c r="BB5" i="1"/>
  <c r="BB8" i="1"/>
  <c r="O8" i="1" s="1"/>
  <c r="J8" i="1" s="1"/>
  <c r="BB6" i="1"/>
  <c r="BB7" i="1"/>
  <c r="BB22" i="1"/>
  <c r="BB43" i="1"/>
  <c r="BB42" i="1"/>
  <c r="BB45" i="1"/>
  <c r="BB69" i="1"/>
  <c r="BB36" i="1"/>
  <c r="O36" i="1" s="1"/>
  <c r="J36" i="1" s="1"/>
  <c r="BB21" i="1"/>
  <c r="BB12" i="1"/>
  <c r="BB35" i="1"/>
  <c r="BB16" i="1"/>
  <c r="BB2" i="1"/>
  <c r="Q9" i="1"/>
  <c r="Q72" i="1" s="1"/>
  <c r="Q87" i="1" s="1"/>
  <c r="Q91" i="1" s="1"/>
  <c r="Q93" i="1" s="1"/>
  <c r="R9" i="1"/>
  <c r="S9" i="1"/>
  <c r="T9" i="1"/>
  <c r="T72" i="1" s="1"/>
  <c r="T87" i="1" s="1"/>
  <c r="T91" i="1" s="1"/>
  <c r="T93" i="1" s="1"/>
  <c r="U9" i="1"/>
  <c r="U72" i="1" s="1"/>
  <c r="U87" i="1" s="1"/>
  <c r="U91" i="1" s="1"/>
  <c r="U93" i="1" s="1"/>
  <c r="V9" i="1"/>
  <c r="W9" i="1"/>
  <c r="X9" i="1"/>
  <c r="Y9" i="1"/>
  <c r="Y72" i="1" s="1"/>
  <c r="Y87" i="1" s="1"/>
  <c r="Y91" i="1" s="1"/>
  <c r="Y93" i="1" s="1"/>
  <c r="Z9" i="1"/>
  <c r="AA9" i="1"/>
  <c r="P9" i="1"/>
  <c r="P72" i="1" s="1"/>
  <c r="P87" i="1" s="1"/>
  <c r="P91" i="1" s="1"/>
  <c r="P93" i="1" s="1"/>
  <c r="DR9" i="1"/>
  <c r="DS9" i="1"/>
  <c r="DT9" i="1"/>
  <c r="DU9" i="1"/>
  <c r="DU72" i="1" s="1"/>
  <c r="DU87" i="1" s="1"/>
  <c r="DV9" i="1"/>
  <c r="DV72" i="1" s="1"/>
  <c r="DV87" i="1" s="1"/>
  <c r="DW9" i="1"/>
  <c r="DX9" i="1"/>
  <c r="DX72" i="1" s="1"/>
  <c r="DX87" i="1" s="1"/>
  <c r="DY9" i="1"/>
  <c r="DY72" i="1" s="1"/>
  <c r="DY87" i="1" s="1"/>
  <c r="DZ9" i="1"/>
  <c r="EA9" i="1"/>
  <c r="EB9" i="1"/>
  <c r="DQ9" i="1"/>
  <c r="DQ72" i="1" s="1"/>
  <c r="DQ87" i="1" s="1"/>
  <c r="DC9" i="1"/>
  <c r="DB3" i="1"/>
  <c r="DB72" i="1" s="1"/>
  <c r="DB87" i="1" s="1"/>
  <c r="CR3" i="1"/>
  <c r="CR72" i="1" s="1"/>
  <c r="CR87" i="1" s="1"/>
  <c r="CS3" i="1"/>
  <c r="CS72" i="1" s="1"/>
  <c r="CS87" i="1" s="1"/>
  <c r="CT3" i="1"/>
  <c r="CT72" i="1" s="1"/>
  <c r="CT87" i="1" s="1"/>
  <c r="CU3" i="1"/>
  <c r="CU72" i="1" s="1"/>
  <c r="CU87" i="1" s="1"/>
  <c r="CV3" i="1"/>
  <c r="CV72" i="1" s="1"/>
  <c r="CV87" i="1" s="1"/>
  <c r="CW3" i="1"/>
  <c r="CW72" i="1" s="1"/>
  <c r="CW87" i="1" s="1"/>
  <c r="CX3" i="1"/>
  <c r="CX72" i="1" s="1"/>
  <c r="CX87" i="1" s="1"/>
  <c r="CY3" i="1"/>
  <c r="CY72" i="1" s="1"/>
  <c r="CY87" i="1" s="1"/>
  <c r="CZ3" i="1"/>
  <c r="CZ72" i="1" s="1"/>
  <c r="CZ87" i="1" s="1"/>
  <c r="DA3" i="1"/>
  <c r="DA72" i="1" s="1"/>
  <c r="DA87" i="1" s="1"/>
  <c r="CQ3" i="1"/>
  <c r="CQ72" i="1" s="1"/>
  <c r="CQ87" i="1" s="1"/>
  <c r="M3" i="1"/>
  <c r="I3" i="1"/>
  <c r="DP3" i="1"/>
  <c r="DP4" i="1"/>
  <c r="DP9" i="1"/>
  <c r="DP10" i="1"/>
  <c r="DP11" i="1"/>
  <c r="DP13" i="1"/>
  <c r="DP15" i="1"/>
  <c r="DP17" i="1"/>
  <c r="DP18" i="1"/>
  <c r="DP19" i="1"/>
  <c r="DP20" i="1"/>
  <c r="DP23" i="1"/>
  <c r="DP24" i="1"/>
  <c r="DP25" i="1"/>
  <c r="DP26" i="1"/>
  <c r="DP27" i="1"/>
  <c r="DP28" i="1"/>
  <c r="DP29" i="1"/>
  <c r="DP48" i="1"/>
  <c r="DP30" i="1"/>
  <c r="DP32" i="1"/>
  <c r="DP33" i="1"/>
  <c r="DP34" i="1"/>
  <c r="DP37" i="1"/>
  <c r="DP38" i="1"/>
  <c r="DP39" i="1"/>
  <c r="DP40" i="1"/>
  <c r="DP41" i="1"/>
  <c r="DP44" i="1"/>
  <c r="DP46" i="1"/>
  <c r="DP47" i="1"/>
  <c r="DP49" i="1"/>
  <c r="DP51" i="1"/>
  <c r="DP52" i="1"/>
  <c r="DP53" i="1"/>
  <c r="DP54" i="1"/>
  <c r="DP55" i="1"/>
  <c r="DP56" i="1"/>
  <c r="DP57" i="1"/>
  <c r="DP58" i="1"/>
  <c r="DP59" i="1"/>
  <c r="DP60" i="1"/>
  <c r="DP61" i="1"/>
  <c r="DP62" i="1"/>
  <c r="DP63" i="1"/>
  <c r="DP64" i="1"/>
  <c r="DP65" i="1"/>
  <c r="DP66" i="1"/>
  <c r="DP67" i="1"/>
  <c r="DP68" i="1"/>
  <c r="DP70" i="1"/>
  <c r="DP14" i="1"/>
  <c r="DP31" i="1"/>
  <c r="DP5" i="1"/>
  <c r="DP8" i="1"/>
  <c r="DP6" i="1"/>
  <c r="DP7" i="1"/>
  <c r="DP22" i="1"/>
  <c r="DP43" i="1"/>
  <c r="DP42" i="1"/>
  <c r="DP45" i="1"/>
  <c r="DP69" i="1"/>
  <c r="DP36" i="1"/>
  <c r="DP21" i="1"/>
  <c r="DP12" i="1"/>
  <c r="DP35" i="1"/>
  <c r="DP16" i="1"/>
  <c r="DP2" i="1"/>
  <c r="EC3" i="1"/>
  <c r="EC4" i="1"/>
  <c r="EC10" i="1"/>
  <c r="EC13" i="1"/>
  <c r="EC15" i="1"/>
  <c r="EC17" i="1"/>
  <c r="EC18" i="1"/>
  <c r="EC20" i="1"/>
  <c r="EC23" i="1"/>
  <c r="EC24" i="1"/>
  <c r="EC25" i="1"/>
  <c r="EC26" i="1"/>
  <c r="EC27" i="1"/>
  <c r="EC28" i="1"/>
  <c r="EC29" i="1"/>
  <c r="EC48" i="1"/>
  <c r="EC30" i="1"/>
  <c r="EC32" i="1"/>
  <c r="EC33" i="1"/>
  <c r="EC34" i="1"/>
  <c r="EC37" i="1"/>
  <c r="EC38" i="1"/>
  <c r="EC39" i="1"/>
  <c r="EC40" i="1"/>
  <c r="EC41" i="1"/>
  <c r="EC44" i="1"/>
  <c r="EC46" i="1"/>
  <c r="EC47" i="1"/>
  <c r="EC49" i="1"/>
  <c r="EC51" i="1"/>
  <c r="EC52" i="1"/>
  <c r="EC53" i="1"/>
  <c r="EC54" i="1"/>
  <c r="EC55" i="1"/>
  <c r="EC56" i="1"/>
  <c r="EC57" i="1"/>
  <c r="EC58" i="1"/>
  <c r="EC59" i="1"/>
  <c r="EC60" i="1"/>
  <c r="EC61" i="1"/>
  <c r="EC62" i="1"/>
  <c r="EC63" i="1"/>
  <c r="EC64" i="1"/>
  <c r="EC65" i="1"/>
  <c r="EC66" i="1"/>
  <c r="EC67" i="1"/>
  <c r="EC68" i="1"/>
  <c r="EC70" i="1"/>
  <c r="EC14" i="1"/>
  <c r="EC31" i="1"/>
  <c r="EC5" i="1"/>
  <c r="EC8" i="1"/>
  <c r="EC6" i="1"/>
  <c r="EC7" i="1"/>
  <c r="EC22" i="1"/>
  <c r="EC43" i="1"/>
  <c r="EC42" i="1"/>
  <c r="EC45" i="1"/>
  <c r="EC69" i="1"/>
  <c r="EC36" i="1"/>
  <c r="EC21" i="1"/>
  <c r="EC12" i="1"/>
  <c r="EC35" i="1"/>
  <c r="EC16" i="1"/>
  <c r="EC2" i="1"/>
  <c r="EP18" i="1"/>
  <c r="EP47" i="1"/>
  <c r="EP55" i="1"/>
  <c r="EP59" i="1"/>
  <c r="EP60" i="1"/>
  <c r="DC4" i="1"/>
  <c r="DC10" i="1"/>
  <c r="DC11" i="1"/>
  <c r="DC13" i="1"/>
  <c r="DC15" i="1"/>
  <c r="DC17" i="1"/>
  <c r="DC18" i="1"/>
  <c r="DC19" i="1"/>
  <c r="DC20" i="1"/>
  <c r="DC23" i="1"/>
  <c r="DC24" i="1"/>
  <c r="DC25" i="1"/>
  <c r="DC26" i="1"/>
  <c r="DC27" i="1"/>
  <c r="DC28" i="1"/>
  <c r="DC29" i="1"/>
  <c r="DC48" i="1"/>
  <c r="DC30" i="1"/>
  <c r="DC32" i="1"/>
  <c r="DC33" i="1"/>
  <c r="DC34" i="1"/>
  <c r="DC37" i="1"/>
  <c r="DC38" i="1"/>
  <c r="DC39" i="1"/>
  <c r="DC40" i="1"/>
  <c r="DC41" i="1"/>
  <c r="DC44" i="1"/>
  <c r="DC46" i="1"/>
  <c r="DC47" i="1"/>
  <c r="DC49" i="1"/>
  <c r="DC51" i="1"/>
  <c r="DC52" i="1"/>
  <c r="DC53" i="1"/>
  <c r="DC54" i="1"/>
  <c r="DC55" i="1"/>
  <c r="DC56" i="1"/>
  <c r="DC57" i="1"/>
  <c r="DC58" i="1"/>
  <c r="DC59" i="1"/>
  <c r="DC60" i="1"/>
  <c r="DC61" i="1"/>
  <c r="DC62" i="1"/>
  <c r="DC63" i="1"/>
  <c r="DC64" i="1"/>
  <c r="DC65" i="1"/>
  <c r="DC66" i="1"/>
  <c r="DC67" i="1"/>
  <c r="DC68" i="1"/>
  <c r="DC70" i="1"/>
  <c r="DC14" i="1"/>
  <c r="DC31" i="1"/>
  <c r="DC5" i="1"/>
  <c r="DC8" i="1"/>
  <c r="DC6" i="1"/>
  <c r="DC7" i="1"/>
  <c r="DC22" i="1"/>
  <c r="DC43" i="1"/>
  <c r="DC42" i="1"/>
  <c r="DC45" i="1"/>
  <c r="DC69" i="1"/>
  <c r="DC36" i="1"/>
  <c r="DC21" i="1"/>
  <c r="DC12" i="1"/>
  <c r="DC35" i="1"/>
  <c r="DC16" i="1"/>
  <c r="DC2" i="1"/>
  <c r="AB3" i="1"/>
  <c r="M2" i="1"/>
  <c r="I2" i="1"/>
  <c r="EP2" i="1"/>
  <c r="AB2" i="1"/>
  <c r="I72" i="1" l="1"/>
  <c r="I87" i="1" s="1"/>
  <c r="DW72" i="1"/>
  <c r="DW87" i="1" s="1"/>
  <c r="Z72" i="1"/>
  <c r="Z87" i="1" s="1"/>
  <c r="Z91" i="1" s="1"/>
  <c r="Z93" i="1" s="1"/>
  <c r="R72" i="1"/>
  <c r="R87" i="1" s="1"/>
  <c r="R91" i="1" s="1"/>
  <c r="R93" i="1" s="1"/>
  <c r="O39" i="1"/>
  <c r="AA72" i="1"/>
  <c r="AA87" i="1" s="1"/>
  <c r="AA91" i="1" s="1"/>
  <c r="AA93" i="1" s="1"/>
  <c r="S72" i="1"/>
  <c r="S87" i="1" s="1"/>
  <c r="S91" i="1" s="1"/>
  <c r="S93" i="1" s="1"/>
  <c r="O65" i="1"/>
  <c r="J65" i="1" s="1"/>
  <c r="O57" i="1"/>
  <c r="J57" i="1" s="1"/>
  <c r="O47" i="1"/>
  <c r="J47" i="1" s="1"/>
  <c r="O34" i="1"/>
  <c r="O26" i="1"/>
  <c r="J26" i="1" s="1"/>
  <c r="O59" i="1"/>
  <c r="J59" i="1" s="1"/>
  <c r="O38" i="1"/>
  <c r="J38" i="1" s="1"/>
  <c r="O5" i="1"/>
  <c r="J5" i="1" s="1"/>
  <c r="O64" i="1"/>
  <c r="J64" i="1" s="1"/>
  <c r="O46" i="1"/>
  <c r="J46" i="1" s="1"/>
  <c r="O33" i="1"/>
  <c r="J33" i="1" s="1"/>
  <c r="O25" i="1"/>
  <c r="J25" i="1" s="1"/>
  <c r="O13" i="1"/>
  <c r="J13" i="1" s="1"/>
  <c r="O52" i="1"/>
  <c r="J52" i="1" s="1"/>
  <c r="O62" i="1"/>
  <c r="J62" i="1" s="1"/>
  <c r="O54" i="1"/>
  <c r="J54" i="1" s="1"/>
  <c r="O30" i="1"/>
  <c r="O23" i="1"/>
  <c r="J23" i="1" s="1"/>
  <c r="W72" i="1"/>
  <c r="W87" i="1" s="1"/>
  <c r="W91" i="1" s="1"/>
  <c r="W93" i="1" s="1"/>
  <c r="EA72" i="1"/>
  <c r="EA87" i="1" s="1"/>
  <c r="DS72" i="1"/>
  <c r="DS87" i="1" s="1"/>
  <c r="V72" i="1"/>
  <c r="V87" i="1" s="1"/>
  <c r="V91" i="1" s="1"/>
  <c r="V93" i="1" s="1"/>
  <c r="DZ72" i="1"/>
  <c r="DZ87" i="1" s="1"/>
  <c r="DR72" i="1"/>
  <c r="DR87" i="1" s="1"/>
  <c r="O69" i="1"/>
  <c r="J69" i="1" s="1"/>
  <c r="BO72" i="1"/>
  <c r="BO87" i="1" s="1"/>
  <c r="BO91" i="1" s="1"/>
  <c r="CO72" i="1"/>
  <c r="CO87" i="1" s="1"/>
  <c r="CO91" i="1" s="1"/>
  <c r="M72" i="1"/>
  <c r="M87" i="1" s="1"/>
  <c r="DP72" i="1"/>
  <c r="DP87" i="1" s="1"/>
  <c r="BB72" i="1"/>
  <c r="BB87" i="1" s="1"/>
  <c r="CB72" i="1"/>
  <c r="CB87" i="1" s="1"/>
  <c r="CB91" i="1" s="1"/>
  <c r="X72" i="1"/>
  <c r="X87" i="1" s="1"/>
  <c r="X91" i="1" s="1"/>
  <c r="X93" i="1" s="1"/>
  <c r="EP72" i="1"/>
  <c r="EP87" i="1" s="1"/>
  <c r="EB72" i="1"/>
  <c r="EB87" i="1" s="1"/>
  <c r="DT72" i="1"/>
  <c r="DT87" i="1" s="1"/>
  <c r="O15" i="1"/>
  <c r="J15" i="1" s="1"/>
  <c r="O55" i="1"/>
  <c r="J55" i="1" s="1"/>
  <c r="O70" i="1"/>
  <c r="J70" i="1" s="1"/>
  <c r="O17" i="1"/>
  <c r="J34" i="1"/>
  <c r="J30" i="1"/>
  <c r="J18" i="1"/>
  <c r="O31" i="1"/>
  <c r="O49" i="1"/>
  <c r="J49" i="1" s="1"/>
  <c r="CP55" i="1"/>
  <c r="J67" i="1"/>
  <c r="O12" i="1"/>
  <c r="J12" i="1" s="1"/>
  <c r="O7" i="1"/>
  <c r="J7" i="1" s="1"/>
  <c r="O51" i="1"/>
  <c r="J51" i="1" s="1"/>
  <c r="O14" i="1"/>
  <c r="J14" i="1" s="1"/>
  <c r="O41" i="1"/>
  <c r="J41" i="1" s="1"/>
  <c r="AB9" i="1"/>
  <c r="O9" i="1" s="1"/>
  <c r="J9" i="1" s="1"/>
  <c r="EC11" i="1"/>
  <c r="CP61" i="1"/>
  <c r="K61" i="1" s="1"/>
  <c r="DC3" i="1"/>
  <c r="DC72" i="1" s="1"/>
  <c r="DC87" i="1" s="1"/>
  <c r="O45" i="1"/>
  <c r="J45" i="1" s="1"/>
  <c r="O63" i="1"/>
  <c r="J63" i="1" s="1"/>
  <c r="O44" i="1"/>
  <c r="J44" i="1" s="1"/>
  <c r="O32" i="1"/>
  <c r="J32" i="1" s="1"/>
  <c r="O56" i="1"/>
  <c r="J56" i="1" s="1"/>
  <c r="O40" i="1"/>
  <c r="J40" i="1" s="1"/>
  <c r="EC9" i="1"/>
  <c r="O43" i="1"/>
  <c r="J43" i="1" s="1"/>
  <c r="O61" i="1"/>
  <c r="J61" i="1" s="1"/>
  <c r="O53" i="1"/>
  <c r="J53" i="1" s="1"/>
  <c r="O48" i="1"/>
  <c r="J48" i="1" s="1"/>
  <c r="O35" i="1"/>
  <c r="J35" i="1" s="1"/>
  <c r="O22" i="1"/>
  <c r="J22" i="1" s="1"/>
  <c r="O68" i="1"/>
  <c r="J68" i="1" s="1"/>
  <c r="O60" i="1"/>
  <c r="J60" i="1" s="1"/>
  <c r="J39" i="1"/>
  <c r="O29" i="1"/>
  <c r="J29" i="1" s="1"/>
  <c r="O19" i="1"/>
  <c r="J19" i="1" s="1"/>
  <c r="O16" i="1"/>
  <c r="J16" i="1" s="1"/>
  <c r="O24" i="1"/>
  <c r="J24" i="1" s="1"/>
  <c r="O21" i="1"/>
  <c r="J21" i="1" s="1"/>
  <c r="O6" i="1"/>
  <c r="J6" i="1" s="1"/>
  <c r="O66" i="1"/>
  <c r="J66" i="1" s="1"/>
  <c r="O58" i="1"/>
  <c r="J58" i="1" s="1"/>
  <c r="O27" i="1"/>
  <c r="J27" i="1" s="1"/>
  <c r="O42" i="1"/>
  <c r="J42" i="1" s="1"/>
  <c r="O20" i="1"/>
  <c r="J20" i="1" s="1"/>
  <c r="O37" i="1"/>
  <c r="J37" i="1" s="1"/>
  <c r="CP60" i="1"/>
  <c r="K60" i="1" s="1"/>
  <c r="CP59" i="1"/>
  <c r="K59" i="1" s="1"/>
  <c r="CP18" i="1"/>
  <c r="O2" i="1"/>
  <c r="O4" i="1"/>
  <c r="CP47" i="1"/>
  <c r="K47" i="1" s="1"/>
  <c r="O3" i="1"/>
  <c r="J3" i="1" s="1"/>
  <c r="CP2" i="1"/>
  <c r="O10" i="1"/>
  <c r="EC72" i="1" l="1"/>
  <c r="EC87" i="1" s="1"/>
  <c r="J2" i="1"/>
  <c r="K2" i="1"/>
  <c r="J31" i="1"/>
  <c r="J17" i="1"/>
  <c r="K18" i="1"/>
  <c r="N18" i="1"/>
  <c r="N55" i="1"/>
  <c r="K55" i="1"/>
  <c r="J10" i="1"/>
  <c r="J4" i="1"/>
  <c r="N59" i="1"/>
  <c r="N61" i="1"/>
  <c r="N60" i="1"/>
  <c r="N47" i="1"/>
  <c r="N2" i="1"/>
  <c r="AB11" i="1"/>
  <c r="O11" i="1" l="1"/>
  <c r="J11" i="1" s="1"/>
  <c r="J72" i="1" s="1"/>
  <c r="AB72" i="1"/>
  <c r="AB87" i="1" s="1"/>
  <c r="AB91" i="1" s="1"/>
  <c r="AB93" i="1" s="1"/>
  <c r="O72" i="1" l="1"/>
  <c r="CP9" i="1"/>
  <c r="N9" i="1" s="1"/>
  <c r="CP53" i="1"/>
  <c r="N53" i="1" s="1"/>
  <c r="CP12" i="1"/>
  <c r="N12" i="1" s="1"/>
  <c r="CP44" i="1"/>
  <c r="K44" i="1" s="1"/>
  <c r="CP57" i="1"/>
  <c r="N57" i="1" s="1"/>
  <c r="CP41" i="1"/>
  <c r="K41" i="1" s="1"/>
  <c r="CP23" i="1"/>
  <c r="N23" i="1" s="1"/>
  <c r="CP52" i="1"/>
  <c r="N52" i="1" s="1"/>
  <c r="CP49" i="1"/>
  <c r="K49" i="1" s="1"/>
  <c r="CP6" i="1"/>
  <c r="N6" i="1" s="1"/>
  <c r="CP15" i="1"/>
  <c r="N15" i="1" s="1"/>
  <c r="CP51" i="1"/>
  <c r="N51" i="1" s="1"/>
  <c r="CP35" i="1"/>
  <c r="N35" i="1" s="1"/>
  <c r="CP4" i="1"/>
  <c r="N4" i="1" s="1"/>
  <c r="CP67" i="1"/>
  <c r="N67" i="1" s="1"/>
  <c r="CP31" i="1"/>
  <c r="K31" i="1" s="1"/>
  <c r="CP25" i="1"/>
  <c r="N25" i="1" s="1"/>
  <c r="CP30" i="1"/>
  <c r="N30" i="1" s="1"/>
  <c r="CP28" i="1"/>
  <c r="K28" i="1" s="1"/>
  <c r="CP3" i="1"/>
  <c r="CP8" i="1"/>
  <c r="N8" i="1" s="1"/>
  <c r="CP63" i="1"/>
  <c r="K63" i="1" s="1"/>
  <c r="CP48" i="1"/>
  <c r="K48" i="1" s="1"/>
  <c r="CP27" i="1"/>
  <c r="K27" i="1" s="1"/>
  <c r="CP22" i="1"/>
  <c r="K22" i="1" s="1"/>
  <c r="CP14" i="1"/>
  <c r="N14" i="1" s="1"/>
  <c r="CP17" i="1"/>
  <c r="K17" i="1" s="1"/>
  <c r="CP65" i="1"/>
  <c r="K65" i="1" s="1"/>
  <c r="CP11" i="1"/>
  <c r="K11" i="1" s="1"/>
  <c r="CP19" i="1"/>
  <c r="N19" i="1" s="1"/>
  <c r="CP62" i="1"/>
  <c r="N62" i="1" s="1"/>
  <c r="CP46" i="1"/>
  <c r="N46" i="1" s="1"/>
  <c r="CP36" i="1"/>
  <c r="N36" i="1" s="1"/>
  <c r="CP42" i="1"/>
  <c r="N42" i="1" s="1"/>
  <c r="CP69" i="1"/>
  <c r="N69" i="1" s="1"/>
  <c r="CP37" i="1"/>
  <c r="N37" i="1" s="1"/>
  <c r="CP34" i="1"/>
  <c r="K34" i="1" s="1"/>
  <c r="CP10" i="1"/>
  <c r="N10" i="1" s="1"/>
  <c r="CP7" i="1"/>
  <c r="N7" i="1" s="1"/>
  <c r="CP43" i="1"/>
  <c r="K43" i="1" s="1"/>
  <c r="CP56" i="1"/>
  <c r="N56" i="1" s="1"/>
  <c r="CP58" i="1"/>
  <c r="K58" i="1" s="1"/>
  <c r="CP54" i="1"/>
  <c r="N54" i="1" s="1"/>
  <c r="CP64" i="1"/>
  <c r="N64" i="1" s="1"/>
  <c r="CP16" i="1"/>
  <c r="N16" i="1" s="1"/>
  <c r="CP68" i="1"/>
  <c r="K68" i="1" s="1"/>
  <c r="CP66" i="1"/>
  <c r="N66" i="1" s="1"/>
  <c r="CP70" i="1"/>
  <c r="N70" i="1" s="1"/>
  <c r="CP32" i="1"/>
  <c r="N32" i="1" s="1"/>
  <c r="CP39" i="1"/>
  <c r="N39" i="1" s="1"/>
  <c r="CP20" i="1"/>
  <c r="N20" i="1" s="1"/>
  <c r="CP24" i="1"/>
  <c r="K24" i="1" s="1"/>
  <c r="CP26" i="1"/>
  <c r="N26" i="1" s="1"/>
  <c r="CP21" i="1"/>
  <c r="N21" i="1" s="1"/>
  <c r="CP45" i="1"/>
  <c r="N45" i="1" s="1"/>
  <c r="CP29" i="1"/>
  <c r="N29" i="1" s="1"/>
  <c r="CP33" i="1"/>
  <c r="N33" i="1" s="1"/>
  <c r="CP38" i="1"/>
  <c r="N38" i="1" s="1"/>
  <c r="CP40" i="1"/>
  <c r="K40" i="1" s="1"/>
  <c r="CP13" i="1"/>
  <c r="K13" i="1" s="1"/>
  <c r="CP5" i="1"/>
  <c r="N5" i="1" s="1"/>
  <c r="K45" i="1" l="1"/>
  <c r="K6" i="1"/>
  <c r="K56" i="1"/>
  <c r="K10" i="1"/>
  <c r="K33" i="1"/>
  <c r="K66" i="1"/>
  <c r="K52" i="1"/>
  <c r="K9" i="1"/>
  <c r="K37" i="1"/>
  <c r="K36" i="1"/>
  <c r="K57" i="1"/>
  <c r="N58" i="1"/>
  <c r="K62" i="1"/>
  <c r="K12" i="1"/>
  <c r="K26" i="1"/>
  <c r="K35" i="1"/>
  <c r="N43" i="1"/>
  <c r="K69" i="1"/>
  <c r="K67" i="1"/>
  <c r="N22" i="1"/>
  <c r="N27" i="1"/>
  <c r="K46" i="1"/>
  <c r="K39" i="1"/>
  <c r="K29" i="1"/>
  <c r="K20" i="1"/>
  <c r="K25" i="1"/>
  <c r="K5" i="1"/>
  <c r="K42" i="1"/>
  <c r="K15" i="1"/>
  <c r="N13" i="1"/>
  <c r="K19" i="1"/>
  <c r="CP72" i="1"/>
  <c r="CP87" i="1" s="1"/>
  <c r="N3" i="1"/>
  <c r="N40" i="1"/>
  <c r="K3" i="1"/>
  <c r="N24" i="1"/>
  <c r="K16" i="1"/>
  <c r="K54" i="1"/>
  <c r="K7" i="1"/>
  <c r="K14" i="1"/>
  <c r="K53" i="1"/>
  <c r="K70" i="1"/>
  <c r="N65" i="1"/>
  <c r="K30" i="1"/>
  <c r="N48" i="1"/>
  <c r="K4" i="1"/>
  <c r="N68" i="1"/>
  <c r="K38" i="1"/>
  <c r="N41" i="1"/>
  <c r="N44" i="1"/>
  <c r="N28" i="1"/>
  <c r="N34" i="1"/>
  <c r="K8" i="1"/>
  <c r="N17" i="1"/>
  <c r="N63" i="1"/>
  <c r="N49" i="1"/>
  <c r="N11" i="1"/>
  <c r="K21" i="1"/>
  <c r="K32" i="1"/>
  <c r="K64" i="1"/>
  <c r="K51" i="1"/>
  <c r="K23" i="1"/>
  <c r="N31" i="1"/>
  <c r="K72" i="1" l="1"/>
  <c r="K87" i="1" s="1"/>
  <c r="N72" i="1"/>
  <c r="N87" i="1" s="1"/>
  <c r="O76" i="1"/>
  <c r="N76" i="1" s="1"/>
  <c r="O83" i="1"/>
  <c r="N83" i="1" s="1"/>
  <c r="O79" i="1"/>
  <c r="O82" i="1"/>
  <c r="J82" i="1" s="1"/>
  <c r="O74" i="1"/>
  <c r="J74" i="1" s="1"/>
  <c r="O80" i="1"/>
  <c r="N80" i="1" s="1"/>
  <c r="O75" i="1"/>
  <c r="N75" i="1" s="1"/>
  <c r="O78" i="1"/>
  <c r="J78" i="1" s="1"/>
  <c r="N74" i="1" l="1"/>
  <c r="N78" i="1"/>
  <c r="J80" i="1"/>
  <c r="N79" i="1"/>
  <c r="O85" i="1"/>
  <c r="O87" i="1" s="1"/>
  <c r="J79" i="1"/>
  <c r="J76" i="1"/>
  <c r="N82" i="1"/>
  <c r="J75" i="1"/>
  <c r="J83" i="1"/>
  <c r="J85" i="1" l="1"/>
  <c r="J8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<sst xmlns="http://schemas.openxmlformats.org/spreadsheetml/2006/main" count="470" uniqueCount="307">
  <si>
    <t>Life No</t>
  </si>
  <si>
    <t>Last</t>
  </si>
  <si>
    <t>First</t>
  </si>
  <si>
    <t>Role(s)</t>
  </si>
  <si>
    <t>Core</t>
  </si>
  <si>
    <t>Notes</t>
  </si>
  <si>
    <t>FTE</t>
  </si>
  <si>
    <t>MSH FTE</t>
  </si>
  <si>
    <t>Other FTE</t>
  </si>
  <si>
    <t>MSH cFTE</t>
  </si>
  <si>
    <t>MSH ncFTE</t>
  </si>
  <si>
    <t>1.0 FTE Hrs</t>
  </si>
  <si>
    <t>MSH Hrs</t>
  </si>
  <si>
    <t>Total Hrs Check</t>
  </si>
  <si>
    <t>Clinical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</si>
  <si>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</si>
  <si>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</si>
  <si>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</si>
  <si>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</si>
  <si>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</si>
  <si>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</si>
  <si>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</si>
  <si>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</si>
  <si>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</si>
  <si>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</si>
  <si>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 xml:space="preserve">Nov </t>
  </si>
  <si>
    <t>Dec</t>
  </si>
  <si>
    <t>Adult ED</t>
  </si>
  <si>
    <t xml:space="preserve">Jan </t>
  </si>
  <si>
    <t>Nov</t>
  </si>
  <si>
    <t xml:space="preserve">Peds ED </t>
  </si>
  <si>
    <t xml:space="preserve">P2P </t>
  </si>
  <si>
    <t>VUC</t>
  </si>
  <si>
    <t>IHS</t>
  </si>
  <si>
    <t>Elmhurst</t>
  </si>
  <si>
    <t>Buy Down</t>
  </si>
  <si>
    <t>Admin</t>
  </si>
  <si>
    <t>Nocturnist</t>
  </si>
  <si>
    <t>Teaching</t>
  </si>
  <si>
    <t>Research</t>
  </si>
  <si>
    <t>Abbott</t>
  </si>
  <si>
    <t>Ethan</t>
  </si>
  <si>
    <t>K awardee</t>
  </si>
  <si>
    <t>Y</t>
  </si>
  <si>
    <r>
      <t xml:space="preserve">K Awardee </t>
    </r>
    <r>
      <rPr>
        <sz val="11"/>
        <color rgb="FFFF0000"/>
        <rFont val="Aptos Narrow"/>
        <scheme val="minor"/>
      </rPr>
      <t>(end date)</t>
    </r>
  </si>
  <si>
    <t>Abella</t>
  </si>
  <si>
    <t>Benjamin</t>
  </si>
  <si>
    <t>System Chair (570 hours)</t>
  </si>
  <si>
    <t>clinical: 300 hrs split btwn MSH &amp; MSMW</t>
  </si>
  <si>
    <t>Abraham</t>
  </si>
  <si>
    <t>Gallane</t>
  </si>
  <si>
    <t>.65 UWS, .25 P2P, .1 VUC</t>
  </si>
  <si>
    <t>Ahktar</t>
  </si>
  <si>
    <t>Saadia</t>
  </si>
  <si>
    <t>Med School .5, MSMW .25</t>
  </si>
  <si>
    <t>Apakama</t>
  </si>
  <si>
    <t>Donald (DJ)</t>
  </si>
  <si>
    <t>Elm</t>
  </si>
  <si>
    <t xml:space="preserve">450/1800 = 25% </t>
  </si>
  <si>
    <t>Ashton</t>
  </si>
  <si>
    <t>Mathew</t>
  </si>
  <si>
    <t>Rev Enhancement (100 hrs)</t>
  </si>
  <si>
    <t>.25 Urgent Care</t>
  </si>
  <si>
    <t>Bowling</t>
  </si>
  <si>
    <t>Morgan</t>
  </si>
  <si>
    <t>Reproductive (144 hrs), Core (48 hrs)</t>
  </si>
  <si>
    <t>.5 Elmhurst</t>
  </si>
  <si>
    <t>Brown</t>
  </si>
  <si>
    <t>Cara</t>
  </si>
  <si>
    <t>US Fellowship Director (20%)</t>
  </si>
  <si>
    <t>200 admin + 96 core</t>
  </si>
  <si>
    <t>Chason</t>
  </si>
  <si>
    <t>Kevin</t>
  </si>
  <si>
    <r>
      <t xml:space="preserve">.8 Clinical Command Center; </t>
    </r>
    <r>
      <rPr>
        <sz val="11"/>
        <color rgb="FFFF0000"/>
        <rFont val="Aptos Narrow"/>
        <scheme val="minor"/>
      </rPr>
      <t>Elm hours?</t>
    </r>
  </si>
  <si>
    <t>Devivo</t>
  </si>
  <si>
    <t>Anthony</t>
  </si>
  <si>
    <t>CritCare PD (10%)</t>
  </si>
  <si>
    <t>75% ICCM</t>
  </si>
  <si>
    <t>Duvidovich</t>
  </si>
  <si>
    <t>Svetlana</t>
  </si>
  <si>
    <t>80% MSH, 20% MSM</t>
  </si>
  <si>
    <t>Foggle</t>
  </si>
  <si>
    <t>John</t>
  </si>
  <si>
    <r>
      <rPr>
        <sz val="11"/>
        <color rgb="FF000000"/>
        <rFont val="Aptos Narrow"/>
        <scheme val="minor"/>
      </rPr>
      <t>Foggle - 0.2 Global, 0.2 InHS; MSH 306 hrs - f</t>
    </r>
    <r>
      <rPr>
        <b/>
        <sz val="11"/>
        <color rgb="FF00B050"/>
        <rFont val="Aptos Narrow"/>
        <scheme val="minor"/>
      </rPr>
      <t>ollow up on Global funding</t>
    </r>
  </si>
  <si>
    <t>Friedmann</t>
  </si>
  <si>
    <t>Tim</t>
  </si>
  <si>
    <t>Assistant Residency Director</t>
  </si>
  <si>
    <r>
      <t xml:space="preserve">Assistant Residency Director - Elmhurst </t>
    </r>
    <r>
      <rPr>
        <b/>
        <sz val="11"/>
        <rFont val="Aptos Narrow"/>
        <scheme val="minor"/>
      </rPr>
      <t xml:space="preserve"> 50/50 split (144 -&gt; 216 annual starting 4/1; additional apd support)</t>
    </r>
  </si>
  <si>
    <t>Garcia</t>
  </si>
  <si>
    <t>Sylvia</t>
  </si>
  <si>
    <t>Assist Resident PD (243hrs)</t>
  </si>
  <si>
    <t>ASCEND (25%)</t>
  </si>
  <si>
    <t>Gavin</t>
  </si>
  <si>
    <t>Nicholas</t>
  </si>
  <si>
    <t>.1 VUC</t>
  </si>
  <si>
    <t>Giron</t>
  </si>
  <si>
    <t>Pedro</t>
  </si>
  <si>
    <t>Glassberg</t>
  </si>
  <si>
    <t>Jeffrey</t>
  </si>
  <si>
    <t xml:space="preserve">VC Research </t>
  </si>
  <si>
    <t>.05 FTE HemOC</t>
  </si>
  <si>
    <t>Goodin</t>
  </si>
  <si>
    <t>Dania</t>
  </si>
  <si>
    <t xml:space="preserve">Assistant Director Diversity (48hrs) </t>
  </si>
  <si>
    <t>0.4 MSQ</t>
  </si>
  <si>
    <t>Grossman</t>
  </si>
  <si>
    <t>Duncan</t>
  </si>
  <si>
    <t>Associate Residency Director (30%)</t>
  </si>
  <si>
    <t>resigning 4/1/26</t>
  </si>
  <si>
    <t>Haines</t>
  </si>
  <si>
    <t>Liz</t>
  </si>
  <si>
    <t>10% clinical</t>
  </si>
  <si>
    <t>Hartley</t>
  </si>
  <si>
    <t>Charles</t>
  </si>
  <si>
    <t>75% MSQ (1125) / 25% MSH (360) - start 7/1/25</t>
  </si>
  <si>
    <t>Heller</t>
  </si>
  <si>
    <t>Mark</t>
  </si>
  <si>
    <t>Hernandez</t>
  </si>
  <si>
    <t>Stephanie</t>
  </si>
  <si>
    <t>Y, Elm</t>
  </si>
  <si>
    <t>.05 VUC</t>
  </si>
  <si>
    <t>Hossain</t>
  </si>
  <si>
    <t>Rubayet</t>
  </si>
  <si>
    <t>Informatics (25%)</t>
  </si>
  <si>
    <t>25% informatics (covered by Linc Found); 10% grant funded as of 8/1/24-7/31/27, .1 VUC</t>
  </si>
  <si>
    <t>Iusim</t>
  </si>
  <si>
    <t>Adelle</t>
  </si>
  <si>
    <t>Jagoda</t>
  </si>
  <si>
    <t>Andy</t>
  </si>
  <si>
    <t>940 admin hrs</t>
  </si>
  <si>
    <t>Jeter</t>
  </si>
  <si>
    <t>Cortlyn</t>
  </si>
  <si>
    <t>.5 MSH, .5 UC</t>
  </si>
  <si>
    <t>Kelly</t>
  </si>
  <si>
    <t>Kristen</t>
  </si>
  <si>
    <t>Medical Director (50%)</t>
  </si>
  <si>
    <t>Khatri</t>
  </si>
  <si>
    <t>Utsha</t>
  </si>
  <si>
    <r>
      <rPr>
        <sz val="11"/>
        <color rgb="FF000000"/>
        <rFont val="Aptos Narrow"/>
        <scheme val="minor"/>
      </rPr>
      <t xml:space="preserve">Kawardee </t>
    </r>
    <r>
      <rPr>
        <sz val="11"/>
        <color rgb="FFFF0000"/>
        <rFont val="Aptos Narrow"/>
        <scheme val="minor"/>
      </rPr>
      <t>(resigning 6/30/26)</t>
    </r>
  </si>
  <si>
    <t>Kim</t>
  </si>
  <si>
    <t>Amie</t>
  </si>
  <si>
    <t>Associate Fellowship PD (20%)</t>
  </si>
  <si>
    <t>0.4 PMR; 0.25 P2P (360hrs), 20% Fellowship PD effective 7/1/26</t>
  </si>
  <si>
    <t>Levene</t>
  </si>
  <si>
    <t>Rachel</t>
  </si>
  <si>
    <t>PEM Associate PD (10%)</t>
  </si>
  <si>
    <t xml:space="preserve">PEM Associate Program Director (10% credit),  1296 clinical hr </t>
  </si>
  <si>
    <t>Liebner</t>
  </si>
  <si>
    <t>Evan</t>
  </si>
  <si>
    <t>w/ CC; (core); 0.1 FTE EM, with 10% core (confirm core credit), .90 ICCM</t>
  </si>
  <si>
    <t>Love</t>
  </si>
  <si>
    <t>Jennifer</t>
  </si>
  <si>
    <t xml:space="preserve">junior researcher - in year 3; project K award 7/1/26; on Alex Manini for  (clinical hrs correct) </t>
  </si>
  <si>
    <t>Mcgreevy</t>
  </si>
  <si>
    <t>Jolion</t>
  </si>
  <si>
    <t>confirm hours -  288</t>
  </si>
  <si>
    <t>Mishoe</t>
  </si>
  <si>
    <t>Jonathan</t>
  </si>
  <si>
    <t>50% MSH, 50% Ur Care</t>
  </si>
  <si>
    <t>Nelson</t>
  </si>
  <si>
    <t>Bret</t>
  </si>
  <si>
    <t>Vice Chair Education (900 hrs)</t>
  </si>
  <si>
    <t>Olmedo</t>
  </si>
  <si>
    <t>Ruben</t>
  </si>
  <si>
    <t>Scheduler (246 hrs)</t>
  </si>
  <si>
    <t>Scheduler (246 hrs, 17% credit) , current clinical hours confirmed, .05 VUC</t>
  </si>
  <si>
    <t>Patel</t>
  </si>
  <si>
    <t>Vaishali</t>
  </si>
  <si>
    <t>Director of PA Program (16.67%)</t>
  </si>
  <si>
    <t>Pawar</t>
  </si>
  <si>
    <t>Chandni</t>
  </si>
  <si>
    <t>Assistant Clerkship Director</t>
  </si>
  <si>
    <r>
      <rPr>
        <sz val="11"/>
        <color rgb="FF000000"/>
        <rFont val="Aptos Narrow"/>
        <scheme val="minor"/>
      </rPr>
      <t xml:space="preserve">Assistant Clerkship Director + core - </t>
    </r>
    <r>
      <rPr>
        <b/>
        <sz val="11"/>
        <color rgb="FF00B050"/>
        <rFont val="Aptos Narrow"/>
        <scheme val="minor"/>
      </rPr>
      <t>fmla Jan-mid-march</t>
    </r>
    <r>
      <rPr>
        <sz val="11"/>
        <color rgb="FF000000"/>
        <rFont val="Aptos Narrow"/>
        <scheme val="minor"/>
      </rPr>
      <t xml:space="preserve"> (240 credit 16.7% core + Asst Clerk Dir) ; 4/1/26 432 total buy down</t>
    </r>
  </si>
  <si>
    <t>Pour</t>
  </si>
  <si>
    <t>Trevor</t>
  </si>
  <si>
    <t>.4 Med School</t>
  </si>
  <si>
    <t>.4 School, .125 P2P (180hrs), 48 Hours Core (confirm in hs)</t>
  </si>
  <si>
    <t>Prager</t>
  </si>
  <si>
    <t>Gabe</t>
  </si>
  <si>
    <t>P2P Admin (25%)</t>
  </si>
  <si>
    <t>25% p2p admin, 25% p2p (confirm inhs)</t>
  </si>
  <si>
    <t>Qu</t>
  </si>
  <si>
    <t>Boyd</t>
  </si>
  <si>
    <t>ultrasound edu - 96 hrs - start 7/1/25</t>
  </si>
  <si>
    <t>Rabin</t>
  </si>
  <si>
    <t>Elaine</t>
  </si>
  <si>
    <t>Residency Director (810 hrs)</t>
  </si>
  <si>
    <t>Ragmoli</t>
  </si>
  <si>
    <t>75% Critical Care</t>
  </si>
  <si>
    <t>Rehman</t>
  </si>
  <si>
    <t>Tehreem</t>
  </si>
  <si>
    <t>Associate Medical Director (30%)</t>
  </si>
  <si>
    <r>
      <rPr>
        <sz val="11"/>
        <color rgb="FF000000"/>
        <rFont val="Aptos Narrow"/>
      </rPr>
      <t xml:space="preserve">Associate Medical Director + 72 hours (504); .0.05 VUC; </t>
    </r>
    <r>
      <rPr>
        <sz val="11"/>
        <color theme="1"/>
        <rFont val="Aptos Narrow"/>
      </rPr>
      <t>Grant credit 119.7 over Q2 and Q3</t>
    </r>
  </si>
  <si>
    <t>Renny</t>
  </si>
  <si>
    <t>Maddy</t>
  </si>
  <si>
    <t>Kawardee</t>
  </si>
  <si>
    <t>k award as of 8/1/25 (currently 50 hrs/month or 600 hrs/yr)</t>
  </si>
  <si>
    <t>Reopelle</t>
  </si>
  <si>
    <t>Kestrel</t>
  </si>
  <si>
    <t>Assistant Residency PD (20%)</t>
  </si>
  <si>
    <t>168 inhs? (.2 -&gt; .35 APD starting 4/1)</t>
  </si>
  <si>
    <t>Richardson</t>
  </si>
  <si>
    <t>Lynne</t>
  </si>
  <si>
    <t>Rosario</t>
  </si>
  <si>
    <t>Diormi</t>
  </si>
  <si>
    <t>SIM Fellow</t>
  </si>
  <si>
    <t>Term fellowship 6/30/26; 7/1/26; add diormi on resident; 288 hrs peds; starting 7/1</t>
  </si>
  <si>
    <t>Rowe</t>
  </si>
  <si>
    <t>Joel</t>
  </si>
  <si>
    <t>Med Ed</t>
  </si>
  <si>
    <r>
      <t xml:space="preserve">Undergrad med education - </t>
    </r>
    <r>
      <rPr>
        <b/>
        <sz val="11"/>
        <color rgb="FF00B050"/>
        <rFont val="Aptos Narrow"/>
        <scheme val="minor"/>
      </rPr>
      <t>ASCEND starting June 1-25% (so 75% of 1440 less 360 for P@P</t>
    </r>
  </si>
  <si>
    <t>Rozehnal</t>
  </si>
  <si>
    <t>IHS Admin (150hrs)</t>
  </si>
  <si>
    <t>Sanders</t>
  </si>
  <si>
    <t>Assistant PEM Med Director (288 hrs)</t>
  </si>
  <si>
    <t>Saracino</t>
  </si>
  <si>
    <t>Christine</t>
  </si>
  <si>
    <t>PEM Fellow</t>
  </si>
  <si>
    <t>PEM Fellow teaching (96 hrs)</t>
  </si>
  <si>
    <t>Schimmel</t>
  </si>
  <si>
    <t>Clinical Trials Support?</t>
  </si>
  <si>
    <t>Clinical Trials Director: 25% clinical trial; 20% NIH grants</t>
  </si>
  <si>
    <t>Schwartz</t>
  </si>
  <si>
    <t>Nicole</t>
  </si>
  <si>
    <t>Associate Med Director VUC (30%)</t>
  </si>
  <si>
    <t>Sethi</t>
  </si>
  <si>
    <t>Monica</t>
  </si>
  <si>
    <t>Core, P2P (360 hrs), 15% nocturnist credit on remaining clinical hrs</t>
  </si>
  <si>
    <t>Shan</t>
  </si>
  <si>
    <t>Gururaj</t>
  </si>
  <si>
    <r>
      <rPr>
        <sz val="11"/>
        <color rgb="FF000000"/>
        <rFont val="Aptos Narrow"/>
      </rPr>
      <t>0.1 P2P (144hrs),</t>
    </r>
    <r>
      <rPr>
        <b/>
        <sz val="11"/>
        <color rgb="FF00B050"/>
        <rFont val="Aptos Narrow"/>
      </rPr>
      <t xml:space="preserve"> 0.1 Virtual (504 admin)</t>
    </r>
  </si>
  <si>
    <t>Shastry</t>
  </si>
  <si>
    <t>Siri</t>
  </si>
  <si>
    <t>nocturnist;  also 22.5% on Manini</t>
  </si>
  <si>
    <t>Solnick</t>
  </si>
  <si>
    <t>K awarded - start date 5/10/24, 0.1 VUC</t>
  </si>
  <si>
    <t>Spina</t>
  </si>
  <si>
    <t>Louis</t>
  </si>
  <si>
    <t>PEM Director</t>
  </si>
  <si>
    <t>Division PEM Director</t>
  </si>
  <si>
    <t>Strother</t>
  </si>
  <si>
    <t>Chris</t>
  </si>
  <si>
    <t>Sim Director/Med Ed Fellowship (14%)</t>
  </si>
  <si>
    <t>50% SOM</t>
  </si>
  <si>
    <t>Sueker</t>
  </si>
  <si>
    <t>Judah</t>
  </si>
  <si>
    <t>VC Clinical Ops (900hrs)</t>
  </si>
  <si>
    <t>10% VUC (72hr/year Jan-Jun); split clinical time btwn MSH/MSMW</t>
  </si>
  <si>
    <t>Sullivan</t>
  </si>
  <si>
    <t>Tokarski</t>
  </si>
  <si>
    <t>Julie</t>
  </si>
  <si>
    <t>PEM</t>
  </si>
  <si>
    <t>PEM - scheduler - 5% scheduler redux,  - nocturnist 85%;</t>
  </si>
  <si>
    <t>Trivedi</t>
  </si>
  <si>
    <t>Shefali</t>
  </si>
  <si>
    <t>Clerkship Director (30%)</t>
  </si>
  <si>
    <t>25% P2P (360hrs); 648 buy down starting 4/1/26</t>
  </si>
  <si>
    <t>Tsung</t>
  </si>
  <si>
    <t>James</t>
  </si>
  <si>
    <r>
      <t xml:space="preserve">PEM - </t>
    </r>
    <r>
      <rPr>
        <b/>
        <sz val="11"/>
        <color rgb="FF00B050"/>
        <rFont val="Aptos Narrow"/>
        <scheme val="minor"/>
      </rPr>
      <t>hrs going up to 1248 -  7/1/25; up to 1344 7/1/26</t>
    </r>
  </si>
  <si>
    <t>Yeo</t>
  </si>
  <si>
    <t>50% RETU</t>
  </si>
  <si>
    <t>half time with RETU</t>
  </si>
  <si>
    <t>Zhou</t>
  </si>
  <si>
    <t>Yu Fang</t>
  </si>
  <si>
    <t>Zinns</t>
  </si>
  <si>
    <t>Lauren</t>
  </si>
  <si>
    <t>1152 hrs?</t>
  </si>
  <si>
    <t>Total</t>
  </si>
  <si>
    <t>Faculty</t>
  </si>
  <si>
    <t>Baldwin</t>
  </si>
  <si>
    <t>Cassidy</t>
  </si>
  <si>
    <t>Med Ed Fellow</t>
  </si>
  <si>
    <t>Term 6/30/27; Yr 1 50/50 MSH/MSQ, Yr 2 MSH</t>
  </si>
  <si>
    <t>Bates</t>
  </si>
  <si>
    <t>Delaney</t>
  </si>
  <si>
    <t>7/1/26 - 6/30/28; Yr 1 50/50 MSH/MSQ; Yr 2 MSH</t>
  </si>
  <si>
    <t>Flores</t>
  </si>
  <si>
    <t>Kimberly</t>
  </si>
  <si>
    <t>US Fellow</t>
  </si>
  <si>
    <t>7/1/26 - 6/30/27; 50/50 MSH/MSQ</t>
  </si>
  <si>
    <t>Jones</t>
  </si>
  <si>
    <t>Matthew</t>
  </si>
  <si>
    <t>Sports Med Fellow</t>
  </si>
  <si>
    <t>7/1/26 - 6/30/27</t>
  </si>
  <si>
    <t>Mazzeo</t>
  </si>
  <si>
    <t>Samantha</t>
  </si>
  <si>
    <t xml:space="preserve">7/1/25 - 6/30/26; </t>
  </si>
  <si>
    <t>Moss</t>
  </si>
  <si>
    <t>Jeena</t>
  </si>
  <si>
    <t>Term 6/30/26</t>
  </si>
  <si>
    <t>Munday</t>
  </si>
  <si>
    <t>Adam</t>
  </si>
  <si>
    <t>Informatics Fellow</t>
  </si>
  <si>
    <t xml:space="preserve">7/1/25 - 6/30/27; </t>
  </si>
  <si>
    <t>SIM Fellowship Term 6/30/26</t>
  </si>
  <si>
    <t>Soldevilla</t>
  </si>
  <si>
    <t>Kyle</t>
  </si>
  <si>
    <t>Term 6/30/26; 50% MSH, 50% MSQ</t>
  </si>
  <si>
    <t>Terala</t>
  </si>
  <si>
    <t>Harshit</t>
  </si>
  <si>
    <t>Term 6/30/26; 33% MSH, 66% Elmhurst</t>
  </si>
  <si>
    <t>Fellow</t>
  </si>
  <si>
    <t>Physician</t>
  </si>
  <si>
    <t>Schedule</t>
  </si>
  <si>
    <t>Staffing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</si>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</sst>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scheme val="minor"/>
    </font>
    <font>
      <sz val="11"/>
      <color rgb="FFFF0000"/>
      <name val="Aptos Narrow"/>
      <scheme val="minor"/>
    </font>
    <font>
      <b/>
      <sz val="11"/>
      <color theme="1"/>
      <name val="Aptos Narrow"/>
      <scheme val="minor"/>
    </font>
    <font>
      <sz val="11"/>
      <name val="Aptos Narrow"/>
      <scheme val="minor"/>
    </font>
    <font>
      <b/>
      <sz val="11"/>
      <color rgb="FF00B050"/>
      <name val="Aptos Narrow"/>
      <scheme val="minor"/>
    </font>
    <font>
      <b/>
      <sz val="11"/>
      <name val="Aptos Narrow"/>
      <scheme val="minor"/>
    </font>
    <font>
      <sz val="11"/>
      <color rgb="FF000000"/>
      <name val="Aptos Narrow"/>
      <scheme val="minor"/>
    </font>
    <font>
      <sz val="11"/>
      <color rgb="FF000000"/>
      <name val="Aptos Narrow"/>
    </font>
    <font>
      <b/>
      <sz val="11"/>
      <color rgb="FF00B050"/>
      <name val="Aptos Narrow"/>
    </font>
    <font>
      <sz val="11"/>
      <name val="Aptos Narrow"/>
    </font>
    <font>
      <sz val="11"/>
      <color rgb="FFFF0000"/>
      <name val="Aptos Narrow"/>
      <family val="2"/>
      <scheme val="minor"/>
    </font>
    <font>
      <sz val="11"/>
      <color theme="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4" fillId="0" borderId="0"/>
    <xf numFmtId="0" fontId="1" fillId="0" borderId="0"/>
  </cellStyleXfs>
  <cellXfs count="126">
    <xf numFmtId="0" fontId="0" fillId="0" borderId="0" xfId="0"/>
    <xf numFmtId="37" fontId="0" fillId="0" borderId="0" xfId="1" applyNumberFormat="1" applyFont="1" applyBorder="1"/>
    <xf numFmtId="37" fontId="7" fillId="0" borderId="0" xfId="1" applyNumberFormat="1" applyFont="1" applyBorder="1" applyAlignment="1">
      <alignment horizontal="center" vertical="center" wrapText="1"/>
    </xf>
    <xf numFmtId="2" fontId="5" fillId="0" borderId="0" xfId="1" applyNumberFormat="1" applyFont="1" applyBorder="1" applyAlignment="1">
      <alignment horizontal="center" vertical="center" wrapText="1"/>
    </xf>
    <xf numFmtId="3" fontId="5" fillId="0" borderId="0" xfId="1" applyNumberFormat="1" applyFont="1" applyBorder="1" applyAlignment="1">
      <alignment horizontal="center" vertical="center" wrapText="1"/>
    </xf>
    <xf numFmtId="3" fontId="5" fillId="6" borderId="0" xfId="1" applyNumberFormat="1" applyFont="1" applyFill="1" applyBorder="1" applyAlignment="1">
      <alignment horizontal="center" vertical="center" wrapText="1"/>
    </xf>
    <xf numFmtId="1" fontId="7" fillId="0" borderId="0" xfId="1" applyNumberFormat="1" applyFont="1" applyBorder="1" applyAlignment="1">
      <alignment horizontal="center" vertical="center" wrapText="1"/>
    </xf>
    <xf numFmtId="4" fontId="5" fillId="0" borderId="0" xfId="1" applyNumberFormat="1" applyFont="1" applyBorder="1" applyAlignment="1">
      <alignment horizontal="center" vertical="center" wrapText="1"/>
    </xf>
    <xf numFmtId="2" fontId="7" fillId="0" borderId="0" xfId="1" applyNumberFormat="1" applyFont="1" applyBorder="1" applyAlignment="1">
      <alignment horizontal="center" vertical="center" wrapText="1"/>
    </xf>
    <xf numFmtId="3" fontId="7" fillId="0" borderId="0" xfId="1" applyNumberFormat="1" applyFont="1" applyBorder="1" applyAlignment="1">
      <alignment horizontal="center" vertical="center" wrapText="1"/>
    </xf>
    <xf numFmtId="37" fontId="7" fillId="0" borderId="2" xfId="1" applyNumberFormat="1" applyFont="1" applyBorder="1" applyAlignment="1">
      <alignment horizontal="center" vertical="center" wrapText="1"/>
    </xf>
    <xf numFmtId="2" fontId="5" fillId="0" borderId="3" xfId="1" applyNumberFormat="1" applyFont="1" applyBorder="1" applyAlignment="1">
      <alignment horizontal="center" vertical="center" wrapText="1"/>
    </xf>
    <xf numFmtId="3" fontId="5" fillId="0" borderId="3" xfId="1" applyNumberFormat="1" applyFont="1" applyBorder="1" applyAlignment="1">
      <alignment horizontal="center" vertical="center" wrapText="1"/>
    </xf>
    <xf numFmtId="3" fontId="5" fillId="6" borderId="3" xfId="1" applyNumberFormat="1" applyFont="1" applyFill="1" applyBorder="1" applyAlignment="1">
      <alignment horizontal="center" vertical="center" wrapText="1"/>
    </xf>
    <xf numFmtId="1" fontId="7" fillId="0" borderId="3" xfId="1" applyNumberFormat="1" applyFont="1" applyBorder="1" applyAlignment="1">
      <alignment horizontal="center" vertical="center" wrapText="1"/>
    </xf>
    <xf numFmtId="3" fontId="7" fillId="0" borderId="3" xfId="1" applyNumberFormat="1" applyFont="1" applyBorder="1" applyAlignment="1">
      <alignment horizontal="center" vertical="center" wrapText="1"/>
    </xf>
    <xf numFmtId="37" fontId="7" fillId="0" borderId="3" xfId="1" applyNumberFormat="1" applyFont="1" applyBorder="1" applyAlignment="1">
      <alignment horizontal="center" vertical="center" wrapText="1"/>
    </xf>
    <xf numFmtId="37" fontId="7" fillId="0" borderId="4" xfId="1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8" fillId="0" borderId="0" xfId="4" applyFont="1" applyAlignment="1">
      <alignment horizontal="left"/>
    </xf>
    <xf numFmtId="0" fontId="6" fillId="0" borderId="0" xfId="4" applyFont="1" applyAlignment="1">
      <alignment horizontal="left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4" fontId="5" fillId="0" borderId="0" xfId="0" applyNumberFormat="1" applyFont="1"/>
    <xf numFmtId="0" fontId="5" fillId="0" borderId="0" xfId="4" applyFont="1" applyAlignment="1">
      <alignment horizontal="left"/>
    </xf>
    <xf numFmtId="2" fontId="0" fillId="0" borderId="0" xfId="0" applyNumberFormat="1" applyAlignment="1">
      <alignment horizontal="center"/>
    </xf>
    <xf numFmtId="0" fontId="9" fillId="0" borderId="0" xfId="4" applyFont="1" applyAlignment="1">
      <alignment horizontal="left"/>
    </xf>
    <xf numFmtId="0" fontId="8" fillId="6" borderId="0" xfId="4" applyFont="1" applyFill="1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center" vertical="center"/>
    </xf>
    <xf numFmtId="4" fontId="0" fillId="0" borderId="0" xfId="0" applyNumberFormat="1"/>
    <xf numFmtId="1" fontId="0" fillId="0" borderId="0" xfId="0" applyNumberFormat="1"/>
    <xf numFmtId="3" fontId="0" fillId="0" borderId="0" xfId="0" applyNumberFormat="1"/>
    <xf numFmtId="1" fontId="0" fillId="0" borderId="0" xfId="1" applyNumberFormat="1" applyFont="1" applyBorder="1"/>
    <xf numFmtId="0" fontId="5" fillId="0" borderId="3" xfId="0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4" fontId="5" fillId="0" borderId="3" xfId="0" applyNumberFormat="1" applyFont="1" applyBorder="1" applyAlignment="1">
      <alignment horizontal="center" vertical="center"/>
    </xf>
    <xf numFmtId="4" fontId="5" fillId="0" borderId="3" xfId="0" applyNumberFormat="1" applyFont="1" applyBorder="1"/>
    <xf numFmtId="2" fontId="0" fillId="0" borderId="0" xfId="0" applyNumberFormat="1"/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vertical="center"/>
    </xf>
    <xf numFmtId="2" fontId="7" fillId="3" borderId="6" xfId="1" applyNumberFormat="1" applyFont="1" applyFill="1" applyBorder="1" applyAlignment="1">
      <alignment horizontal="center" vertical="center" wrapText="1"/>
    </xf>
    <xf numFmtId="3" fontId="7" fillId="3" borderId="6" xfId="1" applyNumberFormat="1" applyFont="1" applyFill="1" applyBorder="1" applyAlignment="1">
      <alignment horizontal="center" vertical="center" wrapText="1"/>
    </xf>
    <xf numFmtId="3" fontId="7" fillId="3" borderId="6" xfId="1" applyNumberFormat="1" applyFont="1" applyFill="1" applyBorder="1" applyAlignment="1">
      <alignment horizontal="center" vertical="center"/>
    </xf>
    <xf numFmtId="1" fontId="7" fillId="4" borderId="6" xfId="1" applyNumberFormat="1" applyFont="1" applyFill="1" applyBorder="1" applyAlignment="1">
      <alignment horizontal="center" vertical="center"/>
    </xf>
    <xf numFmtId="4" fontId="7" fillId="4" borderId="6" xfId="1" applyNumberFormat="1" applyFont="1" applyFill="1" applyBorder="1" applyAlignment="1">
      <alignment horizontal="center" vertical="center"/>
    </xf>
    <xf numFmtId="1" fontId="7" fillId="4" borderId="6" xfId="1" applyNumberFormat="1" applyFont="1" applyFill="1" applyBorder="1" applyAlignment="1">
      <alignment horizontal="center" vertical="center" wrapText="1"/>
    </xf>
    <xf numFmtId="2" fontId="7" fillId="4" borderId="6" xfId="1" applyNumberFormat="1" applyFont="1" applyFill="1" applyBorder="1" applyAlignment="1">
      <alignment horizontal="center" vertical="center"/>
    </xf>
    <xf numFmtId="2" fontId="5" fillId="4" borderId="6" xfId="1" applyNumberFormat="1" applyFont="1" applyFill="1" applyBorder="1" applyAlignment="1">
      <alignment horizontal="center" vertical="center"/>
    </xf>
    <xf numFmtId="3" fontId="7" fillId="4" borderId="6" xfId="1" applyNumberFormat="1" applyFont="1" applyFill="1" applyBorder="1" applyAlignment="1">
      <alignment horizontal="center" vertical="center"/>
    </xf>
    <xf numFmtId="1" fontId="7" fillId="5" borderId="6" xfId="1" applyNumberFormat="1" applyFont="1" applyFill="1" applyBorder="1" applyAlignment="1">
      <alignment horizontal="center" vertical="center"/>
    </xf>
    <xf numFmtId="2" fontId="7" fillId="5" borderId="6" xfId="1" applyNumberFormat="1" applyFont="1" applyFill="1" applyBorder="1" applyAlignment="1">
      <alignment horizontal="center" vertical="center"/>
    </xf>
    <xf numFmtId="4" fontId="7" fillId="5" borderId="6" xfId="1" applyNumberFormat="1" applyFont="1" applyFill="1" applyBorder="1" applyAlignment="1">
      <alignment horizontal="center" vertical="center"/>
    </xf>
    <xf numFmtId="37" fontId="7" fillId="5" borderId="6" xfId="1" applyNumberFormat="1" applyFont="1" applyFill="1" applyBorder="1" applyAlignment="1">
      <alignment horizontal="center" vertical="center"/>
    </xf>
    <xf numFmtId="37" fontId="7" fillId="5" borderId="7" xfId="1" applyNumberFormat="1" applyFont="1" applyFill="1" applyBorder="1" applyAlignment="1">
      <alignment horizontal="center" vertical="center"/>
    </xf>
    <xf numFmtId="0" fontId="0" fillId="9" borderId="8" xfId="0" applyFill="1" applyBorder="1"/>
    <xf numFmtId="0" fontId="7" fillId="9" borderId="9" xfId="0" applyFont="1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/>
    </xf>
    <xf numFmtId="0" fontId="0" fillId="9" borderId="9" xfId="0" applyFill="1" applyBorder="1" applyAlignment="1">
      <alignment horizontal="left"/>
    </xf>
    <xf numFmtId="2" fontId="7" fillId="9" borderId="9" xfId="0" applyNumberFormat="1" applyFont="1" applyFill="1" applyBorder="1" applyAlignment="1">
      <alignment horizontal="center"/>
    </xf>
    <xf numFmtId="3" fontId="7" fillId="9" borderId="9" xfId="0" applyNumberFormat="1" applyFont="1" applyFill="1" applyBorder="1" applyAlignment="1">
      <alignment horizontal="center"/>
    </xf>
    <xf numFmtId="3" fontId="7" fillId="9" borderId="9" xfId="0" applyNumberFormat="1" applyFont="1" applyFill="1" applyBorder="1" applyAlignment="1">
      <alignment horizontal="center" vertical="center"/>
    </xf>
    <xf numFmtId="3" fontId="7" fillId="9" borderId="10" xfId="0" applyNumberFormat="1" applyFont="1" applyFill="1" applyBorder="1" applyAlignment="1">
      <alignment horizontal="center" vertical="center"/>
    </xf>
    <xf numFmtId="0" fontId="7" fillId="9" borderId="8" xfId="0" applyFont="1" applyFill="1" applyBorder="1"/>
    <xf numFmtId="0" fontId="7" fillId="9" borderId="9" xfId="0" applyFont="1" applyFill="1" applyBorder="1" applyAlignment="1">
      <alignment horizontal="center"/>
    </xf>
    <xf numFmtId="0" fontId="7" fillId="9" borderId="9" xfId="0" applyFont="1" applyFill="1" applyBorder="1" applyAlignment="1">
      <alignment horizontal="left"/>
    </xf>
    <xf numFmtId="4" fontId="7" fillId="9" borderId="9" xfId="0" applyNumberFormat="1" applyFont="1" applyFill="1" applyBorder="1" applyAlignment="1">
      <alignment horizontal="center"/>
    </xf>
    <xf numFmtId="3" fontId="7" fillId="9" borderId="10" xfId="0" applyNumberFormat="1" applyFont="1" applyFill="1" applyBorder="1" applyAlignment="1">
      <alignment horizontal="center"/>
    </xf>
    <xf numFmtId="3" fontId="7" fillId="6" borderId="9" xfId="0" applyNumberFormat="1" applyFont="1" applyFill="1" applyBorder="1" applyAlignment="1">
      <alignment horizontal="center"/>
    </xf>
    <xf numFmtId="3" fontId="7" fillId="6" borderId="9" xfId="0" applyNumberFormat="1" applyFont="1" applyFill="1" applyBorder="1" applyAlignment="1">
      <alignment horizontal="center" vertical="center"/>
    </xf>
    <xf numFmtId="164" fontId="7" fillId="6" borderId="8" xfId="0" applyNumberFormat="1" applyFont="1" applyFill="1" applyBorder="1" applyAlignment="1">
      <alignment horizontal="center"/>
    </xf>
    <xf numFmtId="164" fontId="7" fillId="6" borderId="9" xfId="0" applyNumberFormat="1" applyFont="1" applyFill="1" applyBorder="1" applyAlignment="1">
      <alignment horizontal="center" vertical="center" wrapText="1"/>
    </xf>
    <xf numFmtId="164" fontId="7" fillId="6" borderId="9" xfId="0" applyNumberFormat="1" applyFont="1" applyFill="1" applyBorder="1" applyAlignment="1">
      <alignment horizontal="center"/>
    </xf>
    <xf numFmtId="164" fontId="7" fillId="6" borderId="9" xfId="1" applyNumberFormat="1" applyFont="1" applyFill="1" applyBorder="1" applyAlignment="1">
      <alignment horizontal="center"/>
    </xf>
    <xf numFmtId="164" fontId="7" fillId="6" borderId="10" xfId="1" applyNumberFormat="1" applyFont="1" applyFill="1" applyBorder="1" applyAlignment="1">
      <alignment horizontal="center"/>
    </xf>
    <xf numFmtId="2" fontId="7" fillId="6" borderId="9" xfId="0" applyNumberFormat="1" applyFont="1" applyFill="1" applyBorder="1" applyAlignment="1">
      <alignment horizontal="center"/>
    </xf>
    <xf numFmtId="3" fontId="7" fillId="9" borderId="9" xfId="0" applyNumberFormat="1" applyFont="1" applyFill="1" applyBorder="1"/>
    <xf numFmtId="0" fontId="7" fillId="10" borderId="8" xfId="0" applyFont="1" applyFill="1" applyBorder="1"/>
    <xf numFmtId="0" fontId="7" fillId="10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/>
    </xf>
    <xf numFmtId="0" fontId="7" fillId="10" borderId="9" xfId="0" applyFont="1" applyFill="1" applyBorder="1" applyAlignment="1">
      <alignment horizontal="left"/>
    </xf>
    <xf numFmtId="2" fontId="7" fillId="10" borderId="9" xfId="0" applyNumberFormat="1" applyFont="1" applyFill="1" applyBorder="1" applyAlignment="1">
      <alignment horizontal="center"/>
    </xf>
    <xf numFmtId="0" fontId="7" fillId="10" borderId="9" xfId="0" applyFont="1" applyFill="1" applyBorder="1"/>
    <xf numFmtId="2" fontId="7" fillId="10" borderId="9" xfId="0" applyNumberFormat="1" applyFont="1" applyFill="1" applyBorder="1"/>
    <xf numFmtId="3" fontId="7" fillId="10" borderId="9" xfId="0" applyNumberFormat="1" applyFont="1" applyFill="1" applyBorder="1"/>
    <xf numFmtId="1" fontId="7" fillId="10" borderId="9" xfId="0" applyNumberFormat="1" applyFont="1" applyFill="1" applyBorder="1"/>
    <xf numFmtId="1" fontId="7" fillId="10" borderId="9" xfId="1" applyNumberFormat="1" applyFont="1" applyFill="1" applyBorder="1"/>
    <xf numFmtId="4" fontId="7" fillId="10" borderId="9" xfId="0" applyNumberFormat="1" applyFont="1" applyFill="1" applyBorder="1"/>
    <xf numFmtId="37" fontId="7" fillId="10" borderId="9" xfId="1" applyNumberFormat="1" applyFont="1" applyFill="1" applyBorder="1"/>
    <xf numFmtId="37" fontId="7" fillId="10" borderId="10" xfId="1" applyNumberFormat="1" applyFont="1" applyFill="1" applyBorder="1"/>
    <xf numFmtId="4" fontId="7" fillId="10" borderId="9" xfId="0" applyNumberFormat="1" applyFont="1" applyFill="1" applyBorder="1" applyAlignment="1">
      <alignment horizontal="center" vertical="center"/>
    </xf>
    <xf numFmtId="3" fontId="7" fillId="10" borderId="8" xfId="0" applyNumberFormat="1" applyFont="1" applyFill="1" applyBorder="1"/>
    <xf numFmtId="3" fontId="7" fillId="10" borderId="9" xfId="0" applyNumberFormat="1" applyFont="1" applyFill="1" applyBorder="1" applyAlignment="1">
      <alignment horizontal="center" vertical="center" wrapText="1"/>
    </xf>
    <xf numFmtId="3" fontId="7" fillId="10" borderId="9" xfId="0" applyNumberFormat="1" applyFont="1" applyFill="1" applyBorder="1" applyAlignment="1">
      <alignment horizontal="center"/>
    </xf>
    <xf numFmtId="3" fontId="7" fillId="10" borderId="9" xfId="0" applyNumberFormat="1" applyFont="1" applyFill="1" applyBorder="1" applyAlignment="1">
      <alignment horizontal="left"/>
    </xf>
    <xf numFmtId="3" fontId="7" fillId="10" borderId="9" xfId="1" applyNumberFormat="1" applyFont="1" applyFill="1" applyBorder="1"/>
    <xf numFmtId="3" fontId="7" fillId="10" borderId="10" xfId="1" applyNumberFormat="1" applyFont="1" applyFill="1" applyBorder="1"/>
    <xf numFmtId="3" fontId="7" fillId="0" borderId="0" xfId="0" applyNumberFormat="1" applyFont="1"/>
    <xf numFmtId="3" fontId="7" fillId="9" borderId="8" xfId="0" applyNumberFormat="1" applyFont="1" applyFill="1" applyBorder="1"/>
    <xf numFmtId="3" fontId="7" fillId="9" borderId="9" xfId="0" applyNumberFormat="1" applyFont="1" applyFill="1" applyBorder="1" applyAlignment="1">
      <alignment horizontal="center" vertical="center" wrapText="1"/>
    </xf>
    <xf numFmtId="3" fontId="7" fillId="9" borderId="9" xfId="0" applyNumberFormat="1" applyFont="1" applyFill="1" applyBorder="1" applyAlignment="1">
      <alignment horizontal="left"/>
    </xf>
    <xf numFmtId="4" fontId="7" fillId="10" borderId="9" xfId="0" applyNumberFormat="1" applyFont="1" applyFill="1" applyBorder="1" applyAlignment="1">
      <alignment horizontal="center"/>
    </xf>
    <xf numFmtId="3" fontId="7" fillId="4" borderId="6" xfId="1" applyNumberFormat="1" applyFont="1" applyFill="1" applyBorder="1" applyAlignment="1">
      <alignment horizontal="center" vertical="center" wrapText="1"/>
    </xf>
    <xf numFmtId="0" fontId="8" fillId="0" borderId="0" xfId="5" applyFont="1" applyAlignment="1">
      <alignment horizontal="left"/>
    </xf>
    <xf numFmtId="0" fontId="8" fillId="0" borderId="3" xfId="4" applyFont="1" applyBorder="1" applyAlignment="1">
      <alignment horizontal="left"/>
    </xf>
    <xf numFmtId="0" fontId="14" fillId="0" borderId="0" xfId="4" applyFont="1" applyAlignment="1">
      <alignment horizontal="left"/>
    </xf>
    <xf numFmtId="3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5" fillId="0" borderId="0" xfId="2" applyFont="1" applyFill="1" applyBorder="1" applyAlignment="1">
      <alignment horizontal="center" vertical="center" wrapText="1"/>
    </xf>
    <xf numFmtId="0" fontId="5" fillId="0" borderId="0" xfId="3" applyFont="1" applyFill="1" applyBorder="1" applyAlignment="1">
      <alignment horizontal="center" vertical="center" wrapText="1"/>
    </xf>
    <xf numFmtId="0" fontId="6" fillId="6" borderId="0" xfId="4" applyFont="1" applyFill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3" xfId="3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 vertical="center" wrapText="1"/>
    </xf>
    <xf numFmtId="0" fontId="5" fillId="6" borderId="0" xfId="2" applyFont="1" applyFill="1" applyBorder="1" applyAlignment="1">
      <alignment horizontal="center" vertical="center" wrapText="1"/>
    </xf>
  </cellXfs>
  <cellStyles count="6">
    <cellStyle name="Comma" xfId="1" builtinId="3"/>
    <cellStyle name="Good" xfId="2" builtinId="26"/>
    <cellStyle name="Neutral" xfId="3" builtinId="28"/>
    <cellStyle name="Normal" xfId="0" builtinId="0"/>
    <cellStyle name="Normal 7 2" xfId="4" xr:uid="{00000000-0005-0000-0000-000004000000}"/>
    <cellStyle name="Normal 7 2 3" xfId="5" xr:uid="{00000000-0005-0000-0000-000005000000}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93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F91" sqref="F91"/>
    </sheetView>
  </sheetViews>
  <sheetFormatPr baseColWidth="10" defaultColWidth="9" defaultRowHeight="15" outlineLevelCol="1" x14ac:dyDescent="0.2"/>
  <cols>
    <col min="1" max="1" width="14.5" bestFit="1" customWidth="1"/>
    <col min="2" max="2" width="11.6640625" style="32" bestFit="1" customWidth="1"/>
    <col min="3" max="3" width="14.33203125" style="32" bestFit="1" customWidth="1"/>
    <col min="4" max="4" width="34.33203125" style="33" bestFit="1" customWidth="1"/>
    <col min="5" max="5" width="14.83203125" style="33" customWidth="1"/>
    <col min="6" max="6" width="110.5" style="34" bestFit="1" customWidth="1"/>
    <col min="7" max="7" width="9.1640625" style="29" bestFit="1" customWidth="1"/>
    <col min="8" max="8" width="11.1640625" style="29" customWidth="1"/>
    <col min="9" max="9" width="12" customWidth="1"/>
    <col min="10" max="10" width="12.1640625" style="29" customWidth="1"/>
    <col min="11" max="11" width="13.33203125" style="44" customWidth="1"/>
    <col min="12" max="12" width="13" style="38" customWidth="1"/>
    <col min="13" max="13" width="10.5" style="38" customWidth="1"/>
    <col min="14" max="14" width="17.83203125" style="38" bestFit="1" customWidth="1"/>
    <col min="15" max="15" width="9.33203125" style="38" customWidth="1"/>
    <col min="16" max="27" width="7" style="35" customWidth="1" outlineLevel="1"/>
    <col min="28" max="28" width="10.5" style="38" customWidth="1"/>
    <col min="29" max="40" width="7" style="29" customWidth="1" outlineLevel="1"/>
    <col min="41" max="41" width="10.83203125" style="38" customWidth="1"/>
    <col min="42" max="53" width="5.83203125" style="29" hidden="1" customWidth="1" outlineLevel="1"/>
    <col min="54" max="54" width="10.83203125" style="37" customWidth="1" collapsed="1"/>
    <col min="55" max="66" width="5.83203125" style="29" customWidth="1" outlineLevel="1"/>
    <col min="67" max="67" width="10.83203125" style="37" customWidth="1"/>
    <col min="68" max="79" width="5.83203125" style="29" hidden="1" customWidth="1" outlineLevel="1"/>
    <col min="80" max="80" width="10.83203125" style="37" customWidth="1" collapsed="1"/>
    <col min="81" max="92" width="5.83203125" style="29" hidden="1" customWidth="1" outlineLevel="1"/>
    <col min="93" max="93" width="10.83203125" style="38" customWidth="1" collapsed="1"/>
    <col min="94" max="94" width="11.5" style="37" customWidth="1"/>
    <col min="95" max="106" width="5.83203125" style="29" customWidth="1" outlineLevel="1"/>
    <col min="107" max="107" width="10.1640625" style="39" bestFit="1" customWidth="1"/>
    <col min="108" max="119" width="5.83203125" style="36" hidden="1" customWidth="1" outlineLevel="1"/>
    <col min="120" max="120" width="13" style="1" customWidth="1" collapsed="1"/>
    <col min="121" max="132" width="5.83203125" style="29" customWidth="1" outlineLevel="1"/>
    <col min="133" max="133" width="12" style="1" customWidth="1"/>
    <col min="134" max="145" width="5.83203125" style="29" hidden="1" customWidth="1" outlineLevel="1"/>
    <col min="146" max="146" width="12.33203125" style="1" customWidth="1" collapsed="1"/>
  </cols>
  <sheetData>
    <row r="1" spans="1:146" ht="16" x14ac:dyDescent="0.2">
      <c r="A1" s="45" t="s">
        <v>0</v>
      </c>
      <c r="B1" s="46" t="s">
        <v>1</v>
      </c>
      <c r="C1" s="46" t="s">
        <v>2</v>
      </c>
      <c r="D1" s="47" t="s">
        <v>3</v>
      </c>
      <c r="E1" s="47" t="s">
        <v>4</v>
      </c>
      <c r="F1" s="48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  <c r="L1" s="50" t="s">
        <v>11</v>
      </c>
      <c r="M1" s="50" t="s">
        <v>12</v>
      </c>
      <c r="N1" s="51" t="s">
        <v>13</v>
      </c>
      <c r="O1" s="57" t="s">
        <v>14</v>
      </c>
      <c r="P1" s="53" t="s">
        <v>15</v>
      </c>
      <c r="Q1" s="53" t="s">
        <v>16</v>
      </c>
      <c r="R1" s="53" t="s">
        <v>17</v>
      </c>
      <c r="S1" s="53" t="s">
        <v>18</v>
      </c>
      <c r="T1" s="53" t="s">
        <v>19</v>
      </c>
      <c r="U1" s="53" t="s">
        <v>20</v>
      </c>
      <c r="V1" s="53" t="s">
        <v>21</v>
      </c>
      <c r="W1" s="53" t="s">
        <v>22</v>
      </c>
      <c r="X1" s="53" t="s">
        <v>23</v>
      </c>
      <c r="Y1" s="53" t="s">
        <v>24</v>
      </c>
      <c r="Z1" s="53" t="s">
        <v>25</v>
      </c>
      <c r="AA1" s="53" t="s">
        <v>26</v>
      </c>
      <c r="AB1" s="110" t="s">
        <v>27</v>
      </c>
      <c r="AC1" s="55" t="s">
        <v>28</v>
      </c>
      <c r="AD1" s="55" t="s">
        <v>16</v>
      </c>
      <c r="AE1" s="55" t="s">
        <v>17</v>
      </c>
      <c r="AF1" s="55" t="s">
        <v>18</v>
      </c>
      <c r="AG1" s="55" t="s">
        <v>19</v>
      </c>
      <c r="AH1" s="55" t="s">
        <v>20</v>
      </c>
      <c r="AI1" s="55" t="s">
        <v>21</v>
      </c>
      <c r="AJ1" s="55" t="s">
        <v>22</v>
      </c>
      <c r="AK1" s="55" t="s">
        <v>23</v>
      </c>
      <c r="AL1" s="55" t="s">
        <v>24</v>
      </c>
      <c r="AM1" s="55" t="s">
        <v>29</v>
      </c>
      <c r="AN1" s="55" t="s">
        <v>26</v>
      </c>
      <c r="AO1" s="110" t="s">
        <v>30</v>
      </c>
      <c r="AP1" s="55" t="s">
        <v>15</v>
      </c>
      <c r="AQ1" s="55" t="s">
        <v>16</v>
      </c>
      <c r="AR1" s="55" t="s">
        <v>17</v>
      </c>
      <c r="AS1" s="55" t="s">
        <v>18</v>
      </c>
      <c r="AT1" s="55" t="s">
        <v>19</v>
      </c>
      <c r="AU1" s="55" t="s">
        <v>20</v>
      </c>
      <c r="AV1" s="55" t="s">
        <v>21</v>
      </c>
      <c r="AW1" s="55" t="s">
        <v>22</v>
      </c>
      <c r="AX1" s="55" t="s">
        <v>23</v>
      </c>
      <c r="AY1" s="55" t="s">
        <v>24</v>
      </c>
      <c r="AZ1" s="55" t="s">
        <v>29</v>
      </c>
      <c r="BA1" s="55" t="s">
        <v>26</v>
      </c>
      <c r="BB1" s="54" t="s">
        <v>31</v>
      </c>
      <c r="BC1" s="55" t="s">
        <v>15</v>
      </c>
      <c r="BD1" s="55" t="s">
        <v>16</v>
      </c>
      <c r="BE1" s="55" t="s">
        <v>17</v>
      </c>
      <c r="BF1" s="55" t="s">
        <v>18</v>
      </c>
      <c r="BG1" s="55" t="s">
        <v>19</v>
      </c>
      <c r="BH1" s="55" t="s">
        <v>20</v>
      </c>
      <c r="BI1" s="55" t="s">
        <v>21</v>
      </c>
      <c r="BJ1" s="55" t="s">
        <v>22</v>
      </c>
      <c r="BK1" s="55" t="s">
        <v>23</v>
      </c>
      <c r="BL1" s="55" t="s">
        <v>24</v>
      </c>
      <c r="BM1" s="55" t="s">
        <v>29</v>
      </c>
      <c r="BN1" s="55" t="s">
        <v>26</v>
      </c>
      <c r="BO1" s="52" t="s">
        <v>32</v>
      </c>
      <c r="BP1" s="55" t="s">
        <v>15</v>
      </c>
      <c r="BQ1" s="55" t="s">
        <v>16</v>
      </c>
      <c r="BR1" s="55" t="s">
        <v>17</v>
      </c>
      <c r="BS1" s="55" t="s">
        <v>18</v>
      </c>
      <c r="BT1" s="55" t="s">
        <v>19</v>
      </c>
      <c r="BU1" s="55" t="s">
        <v>20</v>
      </c>
      <c r="BV1" s="55" t="s">
        <v>21</v>
      </c>
      <c r="BW1" s="55" t="s">
        <v>22</v>
      </c>
      <c r="BX1" s="55" t="s">
        <v>23</v>
      </c>
      <c r="BY1" s="55" t="s">
        <v>24</v>
      </c>
      <c r="BZ1" s="55" t="s">
        <v>29</v>
      </c>
      <c r="CA1" s="55" t="s">
        <v>26</v>
      </c>
      <c r="CB1" s="52" t="s">
        <v>33</v>
      </c>
      <c r="CC1" s="56" t="s">
        <v>15</v>
      </c>
      <c r="CD1" s="56" t="s">
        <v>16</v>
      </c>
      <c r="CE1" s="56" t="s">
        <v>17</v>
      </c>
      <c r="CF1" s="56" t="s">
        <v>18</v>
      </c>
      <c r="CG1" s="56" t="s">
        <v>19</v>
      </c>
      <c r="CH1" s="56" t="s">
        <v>20</v>
      </c>
      <c r="CI1" s="56" t="s">
        <v>21</v>
      </c>
      <c r="CJ1" s="56" t="s">
        <v>22</v>
      </c>
      <c r="CK1" s="56" t="s">
        <v>23</v>
      </c>
      <c r="CL1" s="56" t="s">
        <v>24</v>
      </c>
      <c r="CM1" s="56" t="s">
        <v>29</v>
      </c>
      <c r="CN1" s="56" t="s">
        <v>26</v>
      </c>
      <c r="CO1" s="57" t="s">
        <v>34</v>
      </c>
      <c r="CP1" s="58" t="s">
        <v>35</v>
      </c>
      <c r="CQ1" s="59" t="s">
        <v>15</v>
      </c>
      <c r="CR1" s="59" t="s">
        <v>16</v>
      </c>
      <c r="CS1" s="59" t="s">
        <v>17</v>
      </c>
      <c r="CT1" s="59" t="s">
        <v>18</v>
      </c>
      <c r="CU1" s="59" t="s">
        <v>19</v>
      </c>
      <c r="CV1" s="59" t="s">
        <v>20</v>
      </c>
      <c r="CW1" s="59" t="s">
        <v>21</v>
      </c>
      <c r="CX1" s="59" t="s">
        <v>22</v>
      </c>
      <c r="CY1" s="59" t="s">
        <v>23</v>
      </c>
      <c r="CZ1" s="59" t="s">
        <v>24</v>
      </c>
      <c r="DA1" s="59" t="s">
        <v>29</v>
      </c>
      <c r="DB1" s="59" t="s">
        <v>26</v>
      </c>
      <c r="DC1" s="58" t="s">
        <v>36</v>
      </c>
      <c r="DD1" s="60" t="s">
        <v>15</v>
      </c>
      <c r="DE1" s="60" t="s">
        <v>16</v>
      </c>
      <c r="DF1" s="60" t="s">
        <v>17</v>
      </c>
      <c r="DG1" s="60" t="s">
        <v>18</v>
      </c>
      <c r="DH1" s="60" t="s">
        <v>19</v>
      </c>
      <c r="DI1" s="60" t="s">
        <v>20</v>
      </c>
      <c r="DJ1" s="60" t="s">
        <v>21</v>
      </c>
      <c r="DK1" s="60" t="s">
        <v>22</v>
      </c>
      <c r="DL1" s="60" t="s">
        <v>23</v>
      </c>
      <c r="DM1" s="60" t="s">
        <v>24</v>
      </c>
      <c r="DN1" s="60" t="s">
        <v>29</v>
      </c>
      <c r="DO1" s="60" t="s">
        <v>26</v>
      </c>
      <c r="DP1" s="61" t="s">
        <v>37</v>
      </c>
      <c r="DQ1" s="59" t="s">
        <v>15</v>
      </c>
      <c r="DR1" s="59" t="s">
        <v>16</v>
      </c>
      <c r="DS1" s="59" t="s">
        <v>17</v>
      </c>
      <c r="DT1" s="59" t="s">
        <v>18</v>
      </c>
      <c r="DU1" s="59" t="s">
        <v>19</v>
      </c>
      <c r="DV1" s="59" t="s">
        <v>20</v>
      </c>
      <c r="DW1" s="59" t="s">
        <v>21</v>
      </c>
      <c r="DX1" s="59" t="s">
        <v>22</v>
      </c>
      <c r="DY1" s="59" t="s">
        <v>23</v>
      </c>
      <c r="DZ1" s="59" t="s">
        <v>24</v>
      </c>
      <c r="EA1" s="59" t="s">
        <v>29</v>
      </c>
      <c r="EB1" s="59" t="s">
        <v>26</v>
      </c>
      <c r="EC1" s="61" t="s">
        <v>38</v>
      </c>
      <c r="ED1" s="59" t="s">
        <v>15</v>
      </c>
      <c r="EE1" s="59" t="s">
        <v>16</v>
      </c>
      <c r="EF1" s="59" t="s">
        <v>17</v>
      </c>
      <c r="EG1" s="59" t="s">
        <v>18</v>
      </c>
      <c r="EH1" s="59" t="s">
        <v>19</v>
      </c>
      <c r="EI1" s="59" t="s">
        <v>20</v>
      </c>
      <c r="EJ1" s="59" t="s">
        <v>21</v>
      </c>
      <c r="EK1" s="59" t="s">
        <v>22</v>
      </c>
      <c r="EL1" s="59" t="s">
        <v>23</v>
      </c>
      <c r="EM1" s="59" t="s">
        <v>24</v>
      </c>
      <c r="EN1" s="59" t="s">
        <v>29</v>
      </c>
      <c r="EO1" s="59" t="s">
        <v>26</v>
      </c>
      <c r="EP1" s="62" t="s">
        <v>39</v>
      </c>
    </row>
    <row r="2" spans="1:146" ht="16" x14ac:dyDescent="0.2">
      <c r="A2" s="120" t="e" cm="1">
        <f t="array" ref="A2">_xlfn.XLOOKUP(B2&amp;C2,#REF! &amp;#REF!,#REF!)</f>
        <v>#REF!</v>
      </c>
      <c r="B2" s="18" t="s">
        <v>40</v>
      </c>
      <c r="C2" s="117" t="s">
        <v>41</v>
      </c>
      <c r="D2" s="19" t="s">
        <v>42</v>
      </c>
      <c r="E2" s="19" t="s">
        <v>43</v>
      </c>
      <c r="F2" s="20" t="s">
        <v>44</v>
      </c>
      <c r="G2" s="3">
        <v>1</v>
      </c>
      <c r="H2" s="3">
        <v>1</v>
      </c>
      <c r="I2" s="3">
        <f t="shared" ref="I2:I33" si="0">+G2-H2</f>
        <v>0</v>
      </c>
      <c r="J2" s="3">
        <f t="shared" ref="J2:J33" si="1">+O2/M2*H2</f>
        <v>0.41666666666666669</v>
      </c>
      <c r="K2" s="3">
        <f t="shared" ref="K2:K33" si="2">+CP2/M2*H2</f>
        <v>0.58333333333333337</v>
      </c>
      <c r="L2" s="4">
        <v>1440</v>
      </c>
      <c r="M2" s="4">
        <f t="shared" ref="M2:M33" si="3">+H2*L2</f>
        <v>1440</v>
      </c>
      <c r="N2" s="5">
        <f t="shared" ref="N2:N33" si="4">+O2+CP2</f>
        <v>1440</v>
      </c>
      <c r="O2" s="9">
        <f t="shared" ref="O2:O33" si="5">+AB2+AO2+BB2+BO2+CB2+CO2</f>
        <v>600</v>
      </c>
      <c r="P2" s="7">
        <v>50</v>
      </c>
      <c r="Q2" s="7">
        <v>50</v>
      </c>
      <c r="R2" s="7">
        <v>50</v>
      </c>
      <c r="S2" s="7">
        <v>50</v>
      </c>
      <c r="T2" s="7">
        <v>50</v>
      </c>
      <c r="U2" s="7">
        <v>50</v>
      </c>
      <c r="V2" s="7">
        <v>50</v>
      </c>
      <c r="W2" s="7">
        <v>50</v>
      </c>
      <c r="X2" s="7">
        <v>50</v>
      </c>
      <c r="Y2" s="7">
        <v>50</v>
      </c>
      <c r="Z2" s="7">
        <v>50</v>
      </c>
      <c r="AA2" s="7">
        <v>50</v>
      </c>
      <c r="AB2" s="9">
        <f t="shared" ref="AB2:AB33" si="6">SUM(P2:AA2)</f>
        <v>600</v>
      </c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9">
        <f t="shared" ref="AO2:AO33" si="7">SUM(AC2:AN2)</f>
        <v>0</v>
      </c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6">
        <f t="shared" ref="BB2:BB33" si="8">SUM(AP2:BA2)</f>
        <v>0</v>
      </c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6">
        <f t="shared" ref="BO2:BO33" si="9">SUM(BC2:BN2)</f>
        <v>0</v>
      </c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6">
        <f t="shared" ref="CB2:CB33" si="10">SUM(BP2:CA2)</f>
        <v>0</v>
      </c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9">
        <f t="shared" ref="CO2:CO43" si="11">SUM(CC2:CN2)</f>
        <v>0</v>
      </c>
      <c r="CP2" s="6">
        <f t="shared" ref="CP2:CP33" si="12">+DC2+DP2+EC2+EP2</f>
        <v>840</v>
      </c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6">
        <f t="shared" ref="DC2:DC47" si="13">SUM(CQ2:DB2)</f>
        <v>0</v>
      </c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2">
        <f t="shared" ref="DP2:DP33" si="14">SUM(DD2:DO2)</f>
        <v>0</v>
      </c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2">
        <f t="shared" ref="EC2:EC33" si="15">SUM(DQ2:EB2)</f>
        <v>0</v>
      </c>
      <c r="ED2" s="3">
        <f t="shared" ref="ED2:EO2" si="16">840/12</f>
        <v>70</v>
      </c>
      <c r="EE2" s="3">
        <f t="shared" si="16"/>
        <v>70</v>
      </c>
      <c r="EF2" s="3">
        <f t="shared" si="16"/>
        <v>70</v>
      </c>
      <c r="EG2" s="3">
        <f t="shared" si="16"/>
        <v>70</v>
      </c>
      <c r="EH2" s="3">
        <f t="shared" si="16"/>
        <v>70</v>
      </c>
      <c r="EI2" s="3">
        <f t="shared" si="16"/>
        <v>70</v>
      </c>
      <c r="EJ2" s="3">
        <f t="shared" si="16"/>
        <v>70</v>
      </c>
      <c r="EK2" s="3">
        <f t="shared" si="16"/>
        <v>70</v>
      </c>
      <c r="EL2" s="3">
        <f t="shared" si="16"/>
        <v>70</v>
      </c>
      <c r="EM2" s="3">
        <f t="shared" si="16"/>
        <v>70</v>
      </c>
      <c r="EN2" s="3">
        <f t="shared" si="16"/>
        <v>70</v>
      </c>
      <c r="EO2" s="3">
        <f t="shared" si="16"/>
        <v>70</v>
      </c>
      <c r="EP2" s="10">
        <f t="shared" ref="EP2:EP33" si="17">SUM(ED2:EO2)</f>
        <v>840</v>
      </c>
    </row>
    <row r="3" spans="1:146" ht="16" x14ac:dyDescent="0.2">
      <c r="A3" s="120" t="e" cm="1">
        <f t="array" ref="A3">_xlfn.XLOOKUP(B3&amp;C3,#REF! &amp;#REF!,#REF!)</f>
        <v>#REF!</v>
      </c>
      <c r="B3" s="18" t="s">
        <v>45</v>
      </c>
      <c r="C3" s="117" t="s">
        <v>46</v>
      </c>
      <c r="D3" s="19" t="s">
        <v>47</v>
      </c>
      <c r="E3" s="19" t="s">
        <v>43</v>
      </c>
      <c r="F3" s="20" t="s">
        <v>48</v>
      </c>
      <c r="G3" s="3">
        <v>1</v>
      </c>
      <c r="H3" s="3">
        <v>0.5</v>
      </c>
      <c r="I3" s="3">
        <f t="shared" si="0"/>
        <v>0.5</v>
      </c>
      <c r="J3" s="3">
        <f t="shared" si="1"/>
        <v>0.10416666666666667</v>
      </c>
      <c r="K3" s="3">
        <f t="shared" si="2"/>
        <v>0.39583333333333331</v>
      </c>
      <c r="L3" s="4">
        <v>1440</v>
      </c>
      <c r="M3" s="4">
        <f t="shared" si="3"/>
        <v>720</v>
      </c>
      <c r="N3" s="5">
        <f t="shared" si="4"/>
        <v>720</v>
      </c>
      <c r="O3" s="9">
        <f t="shared" si="5"/>
        <v>150</v>
      </c>
      <c r="P3" s="7">
        <v>12.5</v>
      </c>
      <c r="Q3" s="7">
        <v>12.5</v>
      </c>
      <c r="R3" s="7">
        <v>12.5</v>
      </c>
      <c r="S3" s="7">
        <v>12.5</v>
      </c>
      <c r="T3" s="7">
        <v>12.5</v>
      </c>
      <c r="U3" s="7">
        <v>12.5</v>
      </c>
      <c r="V3" s="7">
        <v>12.5</v>
      </c>
      <c r="W3" s="7">
        <v>12.5</v>
      </c>
      <c r="X3" s="7">
        <v>12.5</v>
      </c>
      <c r="Y3" s="7">
        <v>12.5</v>
      </c>
      <c r="Z3" s="7">
        <v>12.5</v>
      </c>
      <c r="AA3" s="7">
        <v>12.5</v>
      </c>
      <c r="AB3" s="9">
        <f t="shared" si="6"/>
        <v>150</v>
      </c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9">
        <f t="shared" si="7"/>
        <v>0</v>
      </c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6">
        <f t="shared" si="8"/>
        <v>0</v>
      </c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6">
        <f t="shared" si="9"/>
        <v>0</v>
      </c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6">
        <f t="shared" si="10"/>
        <v>0</v>
      </c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9">
        <f t="shared" si="11"/>
        <v>0</v>
      </c>
      <c r="CP3" s="6">
        <f t="shared" si="12"/>
        <v>570</v>
      </c>
      <c r="CQ3" s="3">
        <f t="shared" ref="CQ3:DB3" si="18">+((720)-150)/12</f>
        <v>47.5</v>
      </c>
      <c r="CR3" s="3">
        <f t="shared" si="18"/>
        <v>47.5</v>
      </c>
      <c r="CS3" s="3">
        <f t="shared" si="18"/>
        <v>47.5</v>
      </c>
      <c r="CT3" s="3">
        <f t="shared" si="18"/>
        <v>47.5</v>
      </c>
      <c r="CU3" s="3">
        <f t="shared" si="18"/>
        <v>47.5</v>
      </c>
      <c r="CV3" s="3">
        <f t="shared" si="18"/>
        <v>47.5</v>
      </c>
      <c r="CW3" s="3">
        <f t="shared" si="18"/>
        <v>47.5</v>
      </c>
      <c r="CX3" s="3">
        <f t="shared" si="18"/>
        <v>47.5</v>
      </c>
      <c r="CY3" s="3">
        <f t="shared" si="18"/>
        <v>47.5</v>
      </c>
      <c r="CZ3" s="3">
        <f t="shared" si="18"/>
        <v>47.5</v>
      </c>
      <c r="DA3" s="3">
        <f t="shared" si="18"/>
        <v>47.5</v>
      </c>
      <c r="DB3" s="3">
        <f t="shared" si="18"/>
        <v>47.5</v>
      </c>
      <c r="DC3" s="6">
        <f t="shared" si="13"/>
        <v>570</v>
      </c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2">
        <f t="shared" si="14"/>
        <v>0</v>
      </c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2">
        <f t="shared" si="15"/>
        <v>0</v>
      </c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10">
        <f t="shared" si="17"/>
        <v>0</v>
      </c>
    </row>
    <row r="4" spans="1:146" ht="16" x14ac:dyDescent="0.2">
      <c r="A4" s="120" t="e" cm="1">
        <f t="array" ref="A4">_xlfn.XLOOKUP(B4&amp;C4,#REF! &amp;#REF!,#REF!)</f>
        <v>#REF!</v>
      </c>
      <c r="B4" s="18" t="s">
        <v>49</v>
      </c>
      <c r="C4" s="118" t="s">
        <v>50</v>
      </c>
      <c r="D4" s="19"/>
      <c r="E4" s="19"/>
      <c r="F4" s="21" t="s">
        <v>51</v>
      </c>
      <c r="G4" s="3">
        <v>1</v>
      </c>
      <c r="H4" s="3">
        <v>0.35</v>
      </c>
      <c r="I4" s="3">
        <f t="shared" si="0"/>
        <v>0.65</v>
      </c>
      <c r="J4" s="3">
        <f t="shared" si="1"/>
        <v>0.35000000000000003</v>
      </c>
      <c r="K4" s="3">
        <f t="shared" si="2"/>
        <v>0</v>
      </c>
      <c r="L4" s="4">
        <v>1440</v>
      </c>
      <c r="M4" s="4">
        <f t="shared" si="3"/>
        <v>503.99999999999994</v>
      </c>
      <c r="N4" s="5">
        <f t="shared" si="4"/>
        <v>504</v>
      </c>
      <c r="O4" s="9">
        <f t="shared" si="5"/>
        <v>504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9">
        <f t="shared" si="6"/>
        <v>0</v>
      </c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9">
        <f t="shared" si="7"/>
        <v>0</v>
      </c>
      <c r="AP4" s="3">
        <f t="shared" ref="AP4:BA4" si="19">0.25*1440/12</f>
        <v>30</v>
      </c>
      <c r="AQ4" s="3">
        <f t="shared" si="19"/>
        <v>30</v>
      </c>
      <c r="AR4" s="3">
        <f t="shared" si="19"/>
        <v>30</v>
      </c>
      <c r="AS4" s="3">
        <f t="shared" si="19"/>
        <v>30</v>
      </c>
      <c r="AT4" s="3">
        <f t="shared" si="19"/>
        <v>30</v>
      </c>
      <c r="AU4" s="3">
        <f t="shared" si="19"/>
        <v>30</v>
      </c>
      <c r="AV4" s="3">
        <f t="shared" si="19"/>
        <v>30</v>
      </c>
      <c r="AW4" s="3">
        <f t="shared" si="19"/>
        <v>30</v>
      </c>
      <c r="AX4" s="3">
        <f t="shared" si="19"/>
        <v>30</v>
      </c>
      <c r="AY4" s="3">
        <f t="shared" si="19"/>
        <v>30</v>
      </c>
      <c r="AZ4" s="3">
        <f t="shared" si="19"/>
        <v>30</v>
      </c>
      <c r="BA4" s="3">
        <f t="shared" si="19"/>
        <v>30</v>
      </c>
      <c r="BB4" s="6">
        <f t="shared" si="8"/>
        <v>360</v>
      </c>
      <c r="BC4" s="3">
        <f t="shared" ref="BC4:BN4" si="20">0.1*1440/12</f>
        <v>12</v>
      </c>
      <c r="BD4" s="3">
        <f t="shared" si="20"/>
        <v>12</v>
      </c>
      <c r="BE4" s="3">
        <f t="shared" si="20"/>
        <v>12</v>
      </c>
      <c r="BF4" s="3">
        <f t="shared" si="20"/>
        <v>12</v>
      </c>
      <c r="BG4" s="3">
        <f t="shared" si="20"/>
        <v>12</v>
      </c>
      <c r="BH4" s="3">
        <f t="shared" si="20"/>
        <v>12</v>
      </c>
      <c r="BI4" s="3">
        <f t="shared" si="20"/>
        <v>12</v>
      </c>
      <c r="BJ4" s="3">
        <f t="shared" si="20"/>
        <v>12</v>
      </c>
      <c r="BK4" s="3">
        <f t="shared" si="20"/>
        <v>12</v>
      </c>
      <c r="BL4" s="3">
        <f t="shared" si="20"/>
        <v>12</v>
      </c>
      <c r="BM4" s="3">
        <f t="shared" si="20"/>
        <v>12</v>
      </c>
      <c r="BN4" s="3">
        <f t="shared" si="20"/>
        <v>12</v>
      </c>
      <c r="BO4" s="6">
        <f t="shared" si="9"/>
        <v>144</v>
      </c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6">
        <f t="shared" si="10"/>
        <v>0</v>
      </c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9">
        <f t="shared" si="11"/>
        <v>0</v>
      </c>
      <c r="CP4" s="6">
        <f t="shared" si="12"/>
        <v>0</v>
      </c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6">
        <f t="shared" si="13"/>
        <v>0</v>
      </c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2">
        <f t="shared" si="14"/>
        <v>0</v>
      </c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2">
        <f t="shared" si="15"/>
        <v>0</v>
      </c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10">
        <f t="shared" si="17"/>
        <v>0</v>
      </c>
    </row>
    <row r="5" spans="1:146" ht="16" x14ac:dyDescent="0.2">
      <c r="A5" s="120" t="e" cm="1">
        <f t="array" ref="A5">_xlfn.XLOOKUP(B5&amp;C5,#REF! &amp;#REF!,#REF!)</f>
        <v>#REF!</v>
      </c>
      <c r="B5" s="18" t="s">
        <v>52</v>
      </c>
      <c r="C5" s="117" t="s">
        <v>53</v>
      </c>
      <c r="D5" s="23"/>
      <c r="E5" s="23"/>
      <c r="F5" s="21" t="s">
        <v>54</v>
      </c>
      <c r="G5" s="26">
        <v>1</v>
      </c>
      <c r="H5" s="26">
        <v>0.25</v>
      </c>
      <c r="I5" s="3">
        <f t="shared" si="0"/>
        <v>0.75</v>
      </c>
      <c r="J5" s="3">
        <f t="shared" si="1"/>
        <v>0.25</v>
      </c>
      <c r="K5" s="3">
        <f t="shared" si="2"/>
        <v>0</v>
      </c>
      <c r="L5" s="4">
        <v>1440</v>
      </c>
      <c r="M5" s="4">
        <f t="shared" si="3"/>
        <v>360</v>
      </c>
      <c r="N5" s="5">
        <f t="shared" si="4"/>
        <v>360</v>
      </c>
      <c r="O5" s="9">
        <f t="shared" si="5"/>
        <v>360</v>
      </c>
      <c r="P5" s="25">
        <f t="shared" ref="P5:AA5" si="21">0.25*1440/12</f>
        <v>30</v>
      </c>
      <c r="Q5" s="25">
        <f t="shared" si="21"/>
        <v>30</v>
      </c>
      <c r="R5" s="25">
        <f t="shared" si="21"/>
        <v>30</v>
      </c>
      <c r="S5" s="25">
        <f t="shared" si="21"/>
        <v>30</v>
      </c>
      <c r="T5" s="25">
        <f t="shared" si="21"/>
        <v>30</v>
      </c>
      <c r="U5" s="25">
        <f t="shared" si="21"/>
        <v>30</v>
      </c>
      <c r="V5" s="25">
        <f t="shared" si="21"/>
        <v>30</v>
      </c>
      <c r="W5" s="25">
        <f t="shared" si="21"/>
        <v>30</v>
      </c>
      <c r="X5" s="25">
        <f t="shared" si="21"/>
        <v>30</v>
      </c>
      <c r="Y5" s="25">
        <f t="shared" si="21"/>
        <v>30</v>
      </c>
      <c r="Z5" s="25">
        <f t="shared" si="21"/>
        <v>30</v>
      </c>
      <c r="AA5" s="25">
        <f t="shared" si="21"/>
        <v>30</v>
      </c>
      <c r="AB5" s="9">
        <f t="shared" si="6"/>
        <v>360</v>
      </c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9">
        <f t="shared" si="7"/>
        <v>0</v>
      </c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6">
        <f t="shared" si="8"/>
        <v>0</v>
      </c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6">
        <f t="shared" si="9"/>
        <v>0</v>
      </c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6">
        <f t="shared" si="10"/>
        <v>0</v>
      </c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9">
        <f t="shared" si="11"/>
        <v>0</v>
      </c>
      <c r="CP5" s="6">
        <f t="shared" si="12"/>
        <v>0</v>
      </c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6">
        <f t="shared" si="13"/>
        <v>0</v>
      </c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">
        <f t="shared" si="14"/>
        <v>0</v>
      </c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">
        <f t="shared" si="15"/>
        <v>0</v>
      </c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10">
        <f t="shared" si="17"/>
        <v>0</v>
      </c>
    </row>
    <row r="6" spans="1:146" ht="16" x14ac:dyDescent="0.2">
      <c r="A6" s="120" t="e" cm="1">
        <f t="array" ref="A6">_xlfn.XLOOKUP(B6&amp;C6,#REF! &amp;#REF!,#REF!)</f>
        <v>#REF!</v>
      </c>
      <c r="B6" s="18" t="s">
        <v>55</v>
      </c>
      <c r="C6" s="117" t="s">
        <v>56</v>
      </c>
      <c r="D6" s="23"/>
      <c r="E6" s="23" t="s">
        <v>57</v>
      </c>
      <c r="F6" s="21" t="s">
        <v>58</v>
      </c>
      <c r="G6" s="26">
        <v>1</v>
      </c>
      <c r="H6" s="26">
        <v>1</v>
      </c>
      <c r="I6" s="3">
        <f t="shared" si="0"/>
        <v>0</v>
      </c>
      <c r="J6" s="3">
        <f t="shared" si="1"/>
        <v>0.3125</v>
      </c>
      <c r="K6" s="3">
        <f t="shared" si="2"/>
        <v>0.6875</v>
      </c>
      <c r="L6" s="4">
        <v>1440</v>
      </c>
      <c r="M6" s="4">
        <f t="shared" si="3"/>
        <v>1440</v>
      </c>
      <c r="N6" s="5">
        <f t="shared" si="4"/>
        <v>1440</v>
      </c>
      <c r="O6" s="9">
        <f t="shared" si="5"/>
        <v>450</v>
      </c>
      <c r="P6" s="25">
        <f>258/12</f>
        <v>21.5</v>
      </c>
      <c r="Q6" s="25">
        <f t="shared" ref="Q6:AA6" si="22">258/12</f>
        <v>21.5</v>
      </c>
      <c r="R6" s="25">
        <f t="shared" si="22"/>
        <v>21.5</v>
      </c>
      <c r="S6" s="25">
        <f t="shared" si="22"/>
        <v>21.5</v>
      </c>
      <c r="T6" s="25">
        <f t="shared" si="22"/>
        <v>21.5</v>
      </c>
      <c r="U6" s="25">
        <f t="shared" si="22"/>
        <v>21.5</v>
      </c>
      <c r="V6" s="25">
        <f t="shared" si="22"/>
        <v>21.5</v>
      </c>
      <c r="W6" s="25">
        <f t="shared" si="22"/>
        <v>21.5</v>
      </c>
      <c r="X6" s="25">
        <f t="shared" si="22"/>
        <v>21.5</v>
      </c>
      <c r="Y6" s="25">
        <f t="shared" si="22"/>
        <v>21.5</v>
      </c>
      <c r="Z6" s="25">
        <f t="shared" si="22"/>
        <v>21.5</v>
      </c>
      <c r="AA6" s="25">
        <f t="shared" si="22"/>
        <v>21.5</v>
      </c>
      <c r="AB6" s="9">
        <f t="shared" si="6"/>
        <v>258</v>
      </c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9">
        <f t="shared" si="7"/>
        <v>0</v>
      </c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6">
        <f t="shared" si="8"/>
        <v>0</v>
      </c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6">
        <f t="shared" si="9"/>
        <v>0</v>
      </c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6">
        <f t="shared" si="10"/>
        <v>0</v>
      </c>
      <c r="CC6" s="26">
        <f>192/12</f>
        <v>16</v>
      </c>
      <c r="CD6" s="26">
        <f t="shared" ref="CD6:CN6" si="23">192/12</f>
        <v>16</v>
      </c>
      <c r="CE6" s="26">
        <f t="shared" si="23"/>
        <v>16</v>
      </c>
      <c r="CF6" s="26">
        <f t="shared" si="23"/>
        <v>16</v>
      </c>
      <c r="CG6" s="26">
        <f t="shared" si="23"/>
        <v>16</v>
      </c>
      <c r="CH6" s="26">
        <f t="shared" si="23"/>
        <v>16</v>
      </c>
      <c r="CI6" s="26">
        <f t="shared" si="23"/>
        <v>16</v>
      </c>
      <c r="CJ6" s="26">
        <f t="shared" si="23"/>
        <v>16</v>
      </c>
      <c r="CK6" s="26">
        <f t="shared" si="23"/>
        <v>16</v>
      </c>
      <c r="CL6" s="26">
        <f t="shared" si="23"/>
        <v>16</v>
      </c>
      <c r="CM6" s="26">
        <f t="shared" si="23"/>
        <v>16</v>
      </c>
      <c r="CN6" s="26">
        <f t="shared" si="23"/>
        <v>16</v>
      </c>
      <c r="CO6" s="9">
        <f t="shared" si="11"/>
        <v>192</v>
      </c>
      <c r="CP6" s="6">
        <f t="shared" si="12"/>
        <v>990</v>
      </c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6">
        <f t="shared" si="13"/>
        <v>0</v>
      </c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">
        <f t="shared" si="14"/>
        <v>0</v>
      </c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">
        <f t="shared" si="15"/>
        <v>0</v>
      </c>
      <c r="ED6" s="26">
        <f t="shared" ref="ED6:EO6" si="24">990/12</f>
        <v>82.5</v>
      </c>
      <c r="EE6" s="26">
        <f t="shared" si="24"/>
        <v>82.5</v>
      </c>
      <c r="EF6" s="26">
        <f t="shared" si="24"/>
        <v>82.5</v>
      </c>
      <c r="EG6" s="26">
        <f t="shared" si="24"/>
        <v>82.5</v>
      </c>
      <c r="EH6" s="26">
        <f t="shared" si="24"/>
        <v>82.5</v>
      </c>
      <c r="EI6" s="26">
        <f t="shared" si="24"/>
        <v>82.5</v>
      </c>
      <c r="EJ6" s="26">
        <f t="shared" si="24"/>
        <v>82.5</v>
      </c>
      <c r="EK6" s="26">
        <f t="shared" si="24"/>
        <v>82.5</v>
      </c>
      <c r="EL6" s="26">
        <f t="shared" si="24"/>
        <v>82.5</v>
      </c>
      <c r="EM6" s="26">
        <f t="shared" si="24"/>
        <v>82.5</v>
      </c>
      <c r="EN6" s="26">
        <f t="shared" si="24"/>
        <v>82.5</v>
      </c>
      <c r="EO6" s="26">
        <f t="shared" si="24"/>
        <v>82.5</v>
      </c>
      <c r="EP6" s="10">
        <f t="shared" si="17"/>
        <v>990</v>
      </c>
    </row>
    <row r="7" spans="1:146" ht="16" x14ac:dyDescent="0.2">
      <c r="A7" s="120" t="e" cm="1">
        <f t="array" ref="A7">_xlfn.XLOOKUP(B7&amp;C7,#REF! &amp;#REF!,#REF!)</f>
        <v>#REF!</v>
      </c>
      <c r="B7" s="18" t="s">
        <v>59</v>
      </c>
      <c r="C7" s="117" t="s">
        <v>60</v>
      </c>
      <c r="D7" s="23" t="s">
        <v>61</v>
      </c>
      <c r="E7" s="23"/>
      <c r="F7" s="21" t="s">
        <v>62</v>
      </c>
      <c r="G7" s="26">
        <v>1</v>
      </c>
      <c r="H7" s="26">
        <v>0.75</v>
      </c>
      <c r="I7" s="3">
        <f t="shared" si="0"/>
        <v>0.25</v>
      </c>
      <c r="J7" s="3">
        <f t="shared" si="1"/>
        <v>0.68055555555555547</v>
      </c>
      <c r="K7" s="3">
        <f t="shared" si="2"/>
        <v>6.9444444444444434E-2</v>
      </c>
      <c r="L7" s="4">
        <v>1440</v>
      </c>
      <c r="M7" s="4">
        <f t="shared" si="3"/>
        <v>1080</v>
      </c>
      <c r="N7" s="5">
        <f t="shared" si="4"/>
        <v>1079.9999999999998</v>
      </c>
      <c r="O7" s="9">
        <f t="shared" si="5"/>
        <v>979.99999999999989</v>
      </c>
      <c r="P7" s="25">
        <f t="shared" ref="P7:AA7" si="25">980/12</f>
        <v>81.666666666666671</v>
      </c>
      <c r="Q7" s="25">
        <f t="shared" si="25"/>
        <v>81.666666666666671</v>
      </c>
      <c r="R7" s="25">
        <f t="shared" si="25"/>
        <v>81.666666666666671</v>
      </c>
      <c r="S7" s="25">
        <f t="shared" si="25"/>
        <v>81.666666666666671</v>
      </c>
      <c r="T7" s="25">
        <f t="shared" si="25"/>
        <v>81.666666666666671</v>
      </c>
      <c r="U7" s="25">
        <f t="shared" si="25"/>
        <v>81.666666666666671</v>
      </c>
      <c r="V7" s="25">
        <f t="shared" si="25"/>
        <v>81.666666666666671</v>
      </c>
      <c r="W7" s="25">
        <f t="shared" si="25"/>
        <v>81.666666666666671</v>
      </c>
      <c r="X7" s="25">
        <f t="shared" si="25"/>
        <v>81.666666666666671</v>
      </c>
      <c r="Y7" s="25">
        <f t="shared" si="25"/>
        <v>81.666666666666671</v>
      </c>
      <c r="Z7" s="25">
        <f t="shared" si="25"/>
        <v>81.666666666666671</v>
      </c>
      <c r="AA7" s="25">
        <f t="shared" si="25"/>
        <v>81.666666666666671</v>
      </c>
      <c r="AB7" s="9">
        <f t="shared" si="6"/>
        <v>979.99999999999989</v>
      </c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9">
        <f t="shared" si="7"/>
        <v>0</v>
      </c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6">
        <f t="shared" si="8"/>
        <v>0</v>
      </c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6">
        <f t="shared" si="9"/>
        <v>0</v>
      </c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6">
        <f t="shared" si="10"/>
        <v>0</v>
      </c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9">
        <f t="shared" si="11"/>
        <v>0</v>
      </c>
      <c r="CP7" s="6">
        <f t="shared" si="12"/>
        <v>99.999999999999986</v>
      </c>
      <c r="CQ7" s="26">
        <f t="shared" ref="CQ7:DB7" si="26">100/12</f>
        <v>8.3333333333333339</v>
      </c>
      <c r="CR7" s="26">
        <f t="shared" si="26"/>
        <v>8.3333333333333339</v>
      </c>
      <c r="CS7" s="26">
        <f t="shared" si="26"/>
        <v>8.3333333333333339</v>
      </c>
      <c r="CT7" s="26">
        <f t="shared" si="26"/>
        <v>8.3333333333333339</v>
      </c>
      <c r="CU7" s="26">
        <f t="shared" si="26"/>
        <v>8.3333333333333339</v>
      </c>
      <c r="CV7" s="26">
        <f t="shared" si="26"/>
        <v>8.3333333333333339</v>
      </c>
      <c r="CW7" s="26">
        <f t="shared" si="26"/>
        <v>8.3333333333333339</v>
      </c>
      <c r="CX7" s="26">
        <f t="shared" si="26"/>
        <v>8.3333333333333339</v>
      </c>
      <c r="CY7" s="26">
        <f t="shared" si="26"/>
        <v>8.3333333333333339</v>
      </c>
      <c r="CZ7" s="26">
        <f t="shared" si="26"/>
        <v>8.3333333333333339</v>
      </c>
      <c r="DA7" s="26">
        <f t="shared" si="26"/>
        <v>8.3333333333333339</v>
      </c>
      <c r="DB7" s="26">
        <f t="shared" si="26"/>
        <v>8.3333333333333339</v>
      </c>
      <c r="DC7" s="6">
        <f t="shared" si="13"/>
        <v>99.999999999999986</v>
      </c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">
        <f t="shared" si="14"/>
        <v>0</v>
      </c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">
        <f t="shared" si="15"/>
        <v>0</v>
      </c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10">
        <f t="shared" si="17"/>
        <v>0</v>
      </c>
    </row>
    <row r="8" spans="1:146" ht="16" x14ac:dyDescent="0.2">
      <c r="A8" s="120" t="e" cm="1">
        <f t="array" ref="A8">_xlfn.XLOOKUP(B8&amp;C8,#REF! &amp;#REF!,#REF!)</f>
        <v>#REF!</v>
      </c>
      <c r="B8" s="18" t="s">
        <v>63</v>
      </c>
      <c r="C8" s="117" t="s">
        <v>64</v>
      </c>
      <c r="D8" s="23" t="s">
        <v>65</v>
      </c>
      <c r="E8" s="23" t="s">
        <v>43</v>
      </c>
      <c r="F8" s="21" t="s">
        <v>66</v>
      </c>
      <c r="G8" s="26">
        <v>1</v>
      </c>
      <c r="H8" s="26">
        <v>0.5</v>
      </c>
      <c r="I8" s="3">
        <f t="shared" si="0"/>
        <v>0.5</v>
      </c>
      <c r="J8" s="3">
        <f t="shared" si="1"/>
        <v>0.36666666666666664</v>
      </c>
      <c r="K8" s="3">
        <f t="shared" si="2"/>
        <v>0.13333333333333333</v>
      </c>
      <c r="L8" s="4">
        <v>1440</v>
      </c>
      <c r="M8" s="4">
        <f t="shared" si="3"/>
        <v>720</v>
      </c>
      <c r="N8" s="5">
        <f t="shared" si="4"/>
        <v>720</v>
      </c>
      <c r="O8" s="9">
        <f t="shared" si="5"/>
        <v>528</v>
      </c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9">
        <f t="shared" si="6"/>
        <v>0</v>
      </c>
      <c r="AC8" s="26">
        <f t="shared" ref="AC8:AN8" si="27">((0.5*1440)-144-48)/12</f>
        <v>44</v>
      </c>
      <c r="AD8" s="26">
        <f t="shared" si="27"/>
        <v>44</v>
      </c>
      <c r="AE8" s="26">
        <f t="shared" si="27"/>
        <v>44</v>
      </c>
      <c r="AF8" s="26">
        <f t="shared" si="27"/>
        <v>44</v>
      </c>
      <c r="AG8" s="26">
        <f t="shared" si="27"/>
        <v>44</v>
      </c>
      <c r="AH8" s="26">
        <f t="shared" si="27"/>
        <v>44</v>
      </c>
      <c r="AI8" s="26">
        <f t="shared" si="27"/>
        <v>44</v>
      </c>
      <c r="AJ8" s="26">
        <f t="shared" si="27"/>
        <v>44</v>
      </c>
      <c r="AK8" s="26">
        <f t="shared" si="27"/>
        <v>44</v>
      </c>
      <c r="AL8" s="26">
        <f t="shared" si="27"/>
        <v>44</v>
      </c>
      <c r="AM8" s="26">
        <f t="shared" si="27"/>
        <v>44</v>
      </c>
      <c r="AN8" s="26">
        <f t="shared" si="27"/>
        <v>44</v>
      </c>
      <c r="AO8" s="9">
        <f t="shared" si="7"/>
        <v>528</v>
      </c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6">
        <f t="shared" si="8"/>
        <v>0</v>
      </c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6">
        <f t="shared" si="9"/>
        <v>0</v>
      </c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6">
        <f t="shared" si="10"/>
        <v>0</v>
      </c>
      <c r="CO8" s="9">
        <f t="shared" si="11"/>
        <v>0</v>
      </c>
      <c r="CP8" s="6">
        <f t="shared" si="12"/>
        <v>192</v>
      </c>
      <c r="CQ8" s="26">
        <f t="shared" ref="CQ8:DB8" si="28">144/12</f>
        <v>12</v>
      </c>
      <c r="CR8" s="26">
        <f t="shared" si="28"/>
        <v>12</v>
      </c>
      <c r="CS8" s="26">
        <f t="shared" si="28"/>
        <v>12</v>
      </c>
      <c r="CT8" s="26">
        <f t="shared" si="28"/>
        <v>12</v>
      </c>
      <c r="CU8" s="26">
        <f t="shared" si="28"/>
        <v>12</v>
      </c>
      <c r="CV8" s="26">
        <f t="shared" si="28"/>
        <v>12</v>
      </c>
      <c r="CW8" s="26">
        <f t="shared" si="28"/>
        <v>12</v>
      </c>
      <c r="CX8" s="26">
        <f t="shared" si="28"/>
        <v>12</v>
      </c>
      <c r="CY8" s="26">
        <f t="shared" si="28"/>
        <v>12</v>
      </c>
      <c r="CZ8" s="26">
        <f t="shared" si="28"/>
        <v>12</v>
      </c>
      <c r="DA8" s="26">
        <f t="shared" si="28"/>
        <v>12</v>
      </c>
      <c r="DB8" s="26">
        <f t="shared" si="28"/>
        <v>12</v>
      </c>
      <c r="DC8" s="6">
        <f t="shared" si="13"/>
        <v>144</v>
      </c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">
        <f t="shared" si="14"/>
        <v>0</v>
      </c>
      <c r="DQ8" s="26">
        <f t="shared" ref="DQ8:EB8" si="29">48/12</f>
        <v>4</v>
      </c>
      <c r="DR8" s="26">
        <f t="shared" si="29"/>
        <v>4</v>
      </c>
      <c r="DS8" s="26">
        <f t="shared" si="29"/>
        <v>4</v>
      </c>
      <c r="DT8" s="26">
        <f t="shared" si="29"/>
        <v>4</v>
      </c>
      <c r="DU8" s="26">
        <f t="shared" si="29"/>
        <v>4</v>
      </c>
      <c r="DV8" s="26">
        <f t="shared" si="29"/>
        <v>4</v>
      </c>
      <c r="DW8" s="26">
        <f t="shared" si="29"/>
        <v>4</v>
      </c>
      <c r="DX8" s="26">
        <f t="shared" si="29"/>
        <v>4</v>
      </c>
      <c r="DY8" s="26">
        <f t="shared" si="29"/>
        <v>4</v>
      </c>
      <c r="DZ8" s="26">
        <f t="shared" si="29"/>
        <v>4</v>
      </c>
      <c r="EA8" s="26">
        <f t="shared" si="29"/>
        <v>4</v>
      </c>
      <c r="EB8" s="26">
        <f t="shared" si="29"/>
        <v>4</v>
      </c>
      <c r="EC8" s="2">
        <f t="shared" si="15"/>
        <v>48</v>
      </c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10">
        <f t="shared" si="17"/>
        <v>0</v>
      </c>
    </row>
    <row r="9" spans="1:146" ht="16" x14ac:dyDescent="0.2">
      <c r="A9" s="120" t="e" cm="1">
        <f t="array" ref="A9">_xlfn.XLOOKUP(B9&amp;C9,#REF! &amp;#REF!,#REF!)</f>
        <v>#REF!</v>
      </c>
      <c r="B9" s="124" t="s">
        <v>67</v>
      </c>
      <c r="C9" s="125" t="s">
        <v>68</v>
      </c>
      <c r="D9" s="19" t="s">
        <v>69</v>
      </c>
      <c r="E9" s="19" t="s">
        <v>43</v>
      </c>
      <c r="F9" s="123" t="s">
        <v>70</v>
      </c>
      <c r="G9" s="3">
        <v>1</v>
      </c>
      <c r="H9" s="3">
        <v>1</v>
      </c>
      <c r="I9" s="3">
        <f t="shared" si="0"/>
        <v>0</v>
      </c>
      <c r="J9" s="3">
        <f t="shared" si="1"/>
        <v>0.8</v>
      </c>
      <c r="K9" s="3">
        <f t="shared" si="2"/>
        <v>0.2</v>
      </c>
      <c r="L9" s="4">
        <v>1440</v>
      </c>
      <c r="M9" s="4">
        <f t="shared" si="3"/>
        <v>1440</v>
      </c>
      <c r="N9" s="5">
        <f t="shared" si="4"/>
        <v>1440</v>
      </c>
      <c r="O9" s="9">
        <f t="shared" si="5"/>
        <v>1152</v>
      </c>
      <c r="P9" s="7">
        <f t="shared" ref="P9:AA9" si="30">0.8*120</f>
        <v>96</v>
      </c>
      <c r="Q9" s="7">
        <f t="shared" si="30"/>
        <v>96</v>
      </c>
      <c r="R9" s="7">
        <f t="shared" si="30"/>
        <v>96</v>
      </c>
      <c r="S9" s="7">
        <f t="shared" si="30"/>
        <v>96</v>
      </c>
      <c r="T9" s="7">
        <f t="shared" si="30"/>
        <v>96</v>
      </c>
      <c r="U9" s="7">
        <f t="shared" si="30"/>
        <v>96</v>
      </c>
      <c r="V9" s="7">
        <f t="shared" si="30"/>
        <v>96</v>
      </c>
      <c r="W9" s="7">
        <f t="shared" si="30"/>
        <v>96</v>
      </c>
      <c r="X9" s="7">
        <f t="shared" si="30"/>
        <v>96</v>
      </c>
      <c r="Y9" s="7">
        <f t="shared" si="30"/>
        <v>96</v>
      </c>
      <c r="Z9" s="7">
        <f t="shared" si="30"/>
        <v>96</v>
      </c>
      <c r="AA9" s="7">
        <f t="shared" si="30"/>
        <v>96</v>
      </c>
      <c r="AB9" s="9">
        <f t="shared" si="6"/>
        <v>1152</v>
      </c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9">
        <f t="shared" si="7"/>
        <v>0</v>
      </c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6">
        <f t="shared" si="8"/>
        <v>0</v>
      </c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6">
        <f t="shared" si="9"/>
        <v>0</v>
      </c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6">
        <f t="shared" si="10"/>
        <v>0</v>
      </c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9">
        <f t="shared" si="11"/>
        <v>0</v>
      </c>
      <c r="CP9" s="6">
        <f t="shared" si="12"/>
        <v>288</v>
      </c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6">
        <f t="shared" si="13"/>
        <v>0</v>
      </c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2">
        <f t="shared" si="14"/>
        <v>0</v>
      </c>
      <c r="DQ9" s="3">
        <f t="shared" ref="DQ9:EB9" si="31">0.2*120</f>
        <v>24</v>
      </c>
      <c r="DR9" s="3">
        <f t="shared" si="31"/>
        <v>24</v>
      </c>
      <c r="DS9" s="3">
        <f t="shared" si="31"/>
        <v>24</v>
      </c>
      <c r="DT9" s="3">
        <f t="shared" si="31"/>
        <v>24</v>
      </c>
      <c r="DU9" s="3">
        <f t="shared" si="31"/>
        <v>24</v>
      </c>
      <c r="DV9" s="3">
        <f t="shared" si="31"/>
        <v>24</v>
      </c>
      <c r="DW9" s="3">
        <f t="shared" si="31"/>
        <v>24</v>
      </c>
      <c r="DX9" s="3">
        <f t="shared" si="31"/>
        <v>24</v>
      </c>
      <c r="DY9" s="3">
        <f t="shared" si="31"/>
        <v>24</v>
      </c>
      <c r="DZ9" s="3">
        <f t="shared" si="31"/>
        <v>24</v>
      </c>
      <c r="EA9" s="3">
        <f t="shared" si="31"/>
        <v>24</v>
      </c>
      <c r="EB9" s="3">
        <f t="shared" si="31"/>
        <v>24</v>
      </c>
      <c r="EC9" s="2">
        <f t="shared" si="15"/>
        <v>288</v>
      </c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10">
        <f t="shared" si="17"/>
        <v>0</v>
      </c>
    </row>
    <row r="10" spans="1:146" ht="16" x14ac:dyDescent="0.2">
      <c r="A10" s="120" t="e" cm="1">
        <f t="array" ref="A10">_xlfn.XLOOKUP(B10&amp;C10,#REF! &amp;#REF!,#REF!)</f>
        <v>#REF!</v>
      </c>
      <c r="B10" s="18" t="s">
        <v>71</v>
      </c>
      <c r="C10" s="118" t="s">
        <v>72</v>
      </c>
      <c r="D10" s="19"/>
      <c r="E10" s="19" t="s">
        <v>57</v>
      </c>
      <c r="F10" s="28" t="s">
        <v>73</v>
      </c>
      <c r="G10" s="3">
        <v>1</v>
      </c>
      <c r="H10" s="3">
        <v>0.2</v>
      </c>
      <c r="I10" s="3">
        <f t="shared" si="0"/>
        <v>0.8</v>
      </c>
      <c r="J10" s="3">
        <f t="shared" si="1"/>
        <v>0.2</v>
      </c>
      <c r="K10" s="3">
        <f t="shared" si="2"/>
        <v>0</v>
      </c>
      <c r="L10" s="4">
        <v>1440</v>
      </c>
      <c r="M10" s="4">
        <f t="shared" si="3"/>
        <v>288</v>
      </c>
      <c r="N10" s="5">
        <f t="shared" si="4"/>
        <v>288</v>
      </c>
      <c r="O10" s="9">
        <f t="shared" si="5"/>
        <v>288</v>
      </c>
      <c r="P10" s="7">
        <f>224/12</f>
        <v>18.666666666666668</v>
      </c>
      <c r="Q10" s="7">
        <f t="shared" ref="Q10:AA10" si="32">224/12</f>
        <v>18.666666666666668</v>
      </c>
      <c r="R10" s="7">
        <f t="shared" si="32"/>
        <v>18.666666666666668</v>
      </c>
      <c r="S10" s="7">
        <f t="shared" si="32"/>
        <v>18.666666666666668</v>
      </c>
      <c r="T10" s="7">
        <f t="shared" si="32"/>
        <v>18.666666666666668</v>
      </c>
      <c r="U10" s="7">
        <f t="shared" si="32"/>
        <v>18.666666666666668</v>
      </c>
      <c r="V10" s="7">
        <f t="shared" si="32"/>
        <v>18.666666666666668</v>
      </c>
      <c r="W10" s="7">
        <f t="shared" si="32"/>
        <v>18.666666666666668</v>
      </c>
      <c r="X10" s="7">
        <f t="shared" si="32"/>
        <v>18.666666666666668</v>
      </c>
      <c r="Y10" s="7">
        <f t="shared" si="32"/>
        <v>18.666666666666668</v>
      </c>
      <c r="Z10" s="7">
        <f t="shared" si="32"/>
        <v>18.666666666666668</v>
      </c>
      <c r="AA10" s="7">
        <f t="shared" si="32"/>
        <v>18.666666666666668</v>
      </c>
      <c r="AB10" s="9">
        <f t="shared" si="6"/>
        <v>223.99999999999997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9">
        <f t="shared" si="7"/>
        <v>0</v>
      </c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6">
        <f t="shared" si="8"/>
        <v>0</v>
      </c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6">
        <f t="shared" si="9"/>
        <v>0</v>
      </c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6">
        <f t="shared" si="10"/>
        <v>0</v>
      </c>
      <c r="CC10" s="3">
        <f>64/12</f>
        <v>5.333333333333333</v>
      </c>
      <c r="CD10" s="3">
        <f t="shared" ref="CD10:CN10" si="33">64/12</f>
        <v>5.333333333333333</v>
      </c>
      <c r="CE10" s="3">
        <f t="shared" si="33"/>
        <v>5.333333333333333</v>
      </c>
      <c r="CF10" s="3">
        <f t="shared" si="33"/>
        <v>5.333333333333333</v>
      </c>
      <c r="CG10" s="3">
        <f t="shared" si="33"/>
        <v>5.333333333333333</v>
      </c>
      <c r="CH10" s="3">
        <f t="shared" si="33"/>
        <v>5.333333333333333</v>
      </c>
      <c r="CI10" s="3">
        <f t="shared" si="33"/>
        <v>5.333333333333333</v>
      </c>
      <c r="CJ10" s="3">
        <f t="shared" si="33"/>
        <v>5.333333333333333</v>
      </c>
      <c r="CK10" s="3">
        <f t="shared" si="33"/>
        <v>5.333333333333333</v>
      </c>
      <c r="CL10" s="3">
        <f t="shared" si="33"/>
        <v>5.333333333333333</v>
      </c>
      <c r="CM10" s="3">
        <f t="shared" si="33"/>
        <v>5.333333333333333</v>
      </c>
      <c r="CN10" s="3">
        <f t="shared" si="33"/>
        <v>5.333333333333333</v>
      </c>
      <c r="CO10" s="9">
        <f t="shared" si="11"/>
        <v>64</v>
      </c>
      <c r="CP10" s="6">
        <f t="shared" si="12"/>
        <v>0</v>
      </c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6">
        <f t="shared" si="13"/>
        <v>0</v>
      </c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2">
        <f t="shared" si="14"/>
        <v>0</v>
      </c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2">
        <f t="shared" si="15"/>
        <v>0</v>
      </c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10">
        <f t="shared" si="17"/>
        <v>0</v>
      </c>
    </row>
    <row r="11" spans="1:146" ht="16" x14ac:dyDescent="0.2">
      <c r="A11" s="120" t="e" cm="1">
        <f t="array" ref="A11">_xlfn.XLOOKUP(B11&amp;C11,#REF! &amp;#REF!,#REF!)</f>
        <v>#REF!</v>
      </c>
      <c r="B11" s="18" t="s">
        <v>74</v>
      </c>
      <c r="C11" s="117" t="s">
        <v>75</v>
      </c>
      <c r="D11" s="19" t="s">
        <v>76</v>
      </c>
      <c r="E11" s="19" t="s">
        <v>43</v>
      </c>
      <c r="F11" s="20" t="s">
        <v>77</v>
      </c>
      <c r="G11" s="3">
        <v>1</v>
      </c>
      <c r="H11" s="3">
        <v>0.25</v>
      </c>
      <c r="I11" s="3">
        <f t="shared" si="0"/>
        <v>0.75</v>
      </c>
      <c r="J11" s="3">
        <f t="shared" si="1"/>
        <v>0.15</v>
      </c>
      <c r="K11" s="3">
        <f t="shared" si="2"/>
        <v>0.1</v>
      </c>
      <c r="L11" s="4">
        <v>1440</v>
      </c>
      <c r="M11" s="4">
        <f t="shared" si="3"/>
        <v>360</v>
      </c>
      <c r="N11" s="5">
        <f t="shared" si="4"/>
        <v>360</v>
      </c>
      <c r="O11" s="9">
        <f t="shared" si="5"/>
        <v>216</v>
      </c>
      <c r="P11" s="7">
        <f>216/12</f>
        <v>18</v>
      </c>
      <c r="Q11" s="7">
        <f t="shared" ref="Q11:AA11" si="34">216/12</f>
        <v>18</v>
      </c>
      <c r="R11" s="7">
        <f t="shared" si="34"/>
        <v>18</v>
      </c>
      <c r="S11" s="7">
        <f t="shared" si="34"/>
        <v>18</v>
      </c>
      <c r="T11" s="7">
        <f t="shared" si="34"/>
        <v>18</v>
      </c>
      <c r="U11" s="7">
        <f t="shared" si="34"/>
        <v>18</v>
      </c>
      <c r="V11" s="7">
        <f t="shared" si="34"/>
        <v>18</v>
      </c>
      <c r="W11" s="7">
        <f t="shared" si="34"/>
        <v>18</v>
      </c>
      <c r="X11" s="7">
        <f t="shared" si="34"/>
        <v>18</v>
      </c>
      <c r="Y11" s="7">
        <f t="shared" si="34"/>
        <v>18</v>
      </c>
      <c r="Z11" s="7">
        <f t="shared" si="34"/>
        <v>18</v>
      </c>
      <c r="AA11" s="7">
        <f t="shared" si="34"/>
        <v>18</v>
      </c>
      <c r="AB11" s="9">
        <f t="shared" si="6"/>
        <v>216</v>
      </c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9">
        <f t="shared" si="7"/>
        <v>0</v>
      </c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6">
        <f t="shared" si="8"/>
        <v>0</v>
      </c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6">
        <f t="shared" si="9"/>
        <v>0</v>
      </c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6">
        <f t="shared" si="10"/>
        <v>0</v>
      </c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9">
        <f t="shared" si="11"/>
        <v>0</v>
      </c>
      <c r="CP11" s="6">
        <f t="shared" si="12"/>
        <v>144</v>
      </c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6">
        <f t="shared" si="13"/>
        <v>0</v>
      </c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2">
        <f t="shared" si="14"/>
        <v>0</v>
      </c>
      <c r="DQ11" s="3">
        <f>144/12</f>
        <v>12</v>
      </c>
      <c r="DR11" s="3">
        <f t="shared" ref="DR11:EB11" si="35">144/12</f>
        <v>12</v>
      </c>
      <c r="DS11" s="3">
        <f t="shared" si="35"/>
        <v>12</v>
      </c>
      <c r="DT11" s="3">
        <f t="shared" si="35"/>
        <v>12</v>
      </c>
      <c r="DU11" s="3">
        <f t="shared" si="35"/>
        <v>12</v>
      </c>
      <c r="DV11" s="3">
        <f t="shared" si="35"/>
        <v>12</v>
      </c>
      <c r="DW11" s="3">
        <f t="shared" si="35"/>
        <v>12</v>
      </c>
      <c r="DX11" s="3">
        <f t="shared" si="35"/>
        <v>12</v>
      </c>
      <c r="DY11" s="3">
        <f t="shared" si="35"/>
        <v>12</v>
      </c>
      <c r="DZ11" s="3">
        <f t="shared" si="35"/>
        <v>12</v>
      </c>
      <c r="EA11" s="3">
        <f t="shared" si="35"/>
        <v>12</v>
      </c>
      <c r="EB11" s="3">
        <f t="shared" si="35"/>
        <v>12</v>
      </c>
      <c r="EC11" s="2">
        <f t="shared" si="15"/>
        <v>144</v>
      </c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10">
        <f t="shared" si="17"/>
        <v>0</v>
      </c>
    </row>
    <row r="12" spans="1:146" ht="16" x14ac:dyDescent="0.2">
      <c r="A12" s="120" t="e" cm="1">
        <f t="array" ref="A12">_xlfn.XLOOKUP(B12&amp;C12,#REF! &amp;#REF!,#REF!)</f>
        <v>#REF!</v>
      </c>
      <c r="B12" s="18" t="s">
        <v>78</v>
      </c>
      <c r="C12" s="117" t="s">
        <v>79</v>
      </c>
      <c r="D12" s="23"/>
      <c r="E12" s="23"/>
      <c r="F12" s="21" t="s">
        <v>80</v>
      </c>
      <c r="G12" s="26">
        <v>1</v>
      </c>
      <c r="H12" s="26">
        <v>0.8</v>
      </c>
      <c r="I12" s="3">
        <f t="shared" si="0"/>
        <v>0.19999999999999996</v>
      </c>
      <c r="J12" s="3">
        <f t="shared" si="1"/>
        <v>0.8</v>
      </c>
      <c r="K12" s="3">
        <f t="shared" si="2"/>
        <v>0</v>
      </c>
      <c r="L12" s="4">
        <v>1440</v>
      </c>
      <c r="M12" s="4">
        <f t="shared" si="3"/>
        <v>1152</v>
      </c>
      <c r="N12" s="5">
        <f t="shared" si="4"/>
        <v>1152</v>
      </c>
      <c r="O12" s="9">
        <f t="shared" si="5"/>
        <v>1152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9">
        <f t="shared" si="6"/>
        <v>0</v>
      </c>
      <c r="AC12" s="26">
        <f t="shared" ref="AC12:AN12" si="36">0.8*1440/12</f>
        <v>96</v>
      </c>
      <c r="AD12" s="26">
        <f t="shared" si="36"/>
        <v>96</v>
      </c>
      <c r="AE12" s="26">
        <f t="shared" si="36"/>
        <v>96</v>
      </c>
      <c r="AF12" s="26">
        <f t="shared" si="36"/>
        <v>96</v>
      </c>
      <c r="AG12" s="26">
        <f t="shared" si="36"/>
        <v>96</v>
      </c>
      <c r="AH12" s="26">
        <f t="shared" si="36"/>
        <v>96</v>
      </c>
      <c r="AI12" s="26">
        <f t="shared" si="36"/>
        <v>96</v>
      </c>
      <c r="AJ12" s="26">
        <f t="shared" si="36"/>
        <v>96</v>
      </c>
      <c r="AK12" s="26">
        <f t="shared" si="36"/>
        <v>96</v>
      </c>
      <c r="AL12" s="26">
        <f t="shared" si="36"/>
        <v>96</v>
      </c>
      <c r="AM12" s="26">
        <f t="shared" si="36"/>
        <v>96</v>
      </c>
      <c r="AN12" s="26">
        <f t="shared" si="36"/>
        <v>96</v>
      </c>
      <c r="AO12" s="9">
        <f t="shared" si="7"/>
        <v>1152</v>
      </c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6">
        <f t="shared" si="8"/>
        <v>0</v>
      </c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6">
        <f t="shared" si="9"/>
        <v>0</v>
      </c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6">
        <f t="shared" si="10"/>
        <v>0</v>
      </c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9">
        <f t="shared" si="11"/>
        <v>0</v>
      </c>
      <c r="CP12" s="6">
        <f t="shared" si="12"/>
        <v>0</v>
      </c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6">
        <f t="shared" si="13"/>
        <v>0</v>
      </c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">
        <f t="shared" si="14"/>
        <v>0</v>
      </c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">
        <f t="shared" si="15"/>
        <v>0</v>
      </c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10">
        <f t="shared" si="17"/>
        <v>0</v>
      </c>
    </row>
    <row r="13" spans="1:146" ht="16" x14ac:dyDescent="0.2">
      <c r="A13" s="120" t="e" cm="1">
        <f t="array" ref="A13">_xlfn.XLOOKUP(B13&amp;C13,#REF! &amp;#REF!,#REF!)</f>
        <v>#REF!</v>
      </c>
      <c r="B13" s="18" t="s">
        <v>81</v>
      </c>
      <c r="C13" s="118" t="s">
        <v>82</v>
      </c>
      <c r="D13" s="19"/>
      <c r="E13" s="19" t="s">
        <v>43</v>
      </c>
      <c r="F13" s="21" t="s">
        <v>83</v>
      </c>
      <c r="G13" s="3">
        <v>0.5</v>
      </c>
      <c r="H13" s="3">
        <v>0.5</v>
      </c>
      <c r="I13" s="3">
        <f t="shared" si="0"/>
        <v>0</v>
      </c>
      <c r="J13" s="3">
        <f t="shared" si="1"/>
        <v>0.32916666666666666</v>
      </c>
      <c r="K13" s="3">
        <f t="shared" si="2"/>
        <v>0.17083333333333334</v>
      </c>
      <c r="L13" s="4">
        <v>1440</v>
      </c>
      <c r="M13" s="4">
        <f t="shared" si="3"/>
        <v>720</v>
      </c>
      <c r="N13" s="5">
        <f t="shared" si="4"/>
        <v>720</v>
      </c>
      <c r="O13" s="9">
        <f t="shared" si="5"/>
        <v>474</v>
      </c>
      <c r="P13" s="7">
        <f>306/12</f>
        <v>25.5</v>
      </c>
      <c r="Q13" s="7">
        <f t="shared" ref="Q13:AA13" si="37">306/12</f>
        <v>25.5</v>
      </c>
      <c r="R13" s="7">
        <f t="shared" si="37"/>
        <v>25.5</v>
      </c>
      <c r="S13" s="7">
        <f t="shared" si="37"/>
        <v>25.5</v>
      </c>
      <c r="T13" s="7">
        <f t="shared" si="37"/>
        <v>25.5</v>
      </c>
      <c r="U13" s="7">
        <f t="shared" si="37"/>
        <v>25.5</v>
      </c>
      <c r="V13" s="7">
        <f t="shared" si="37"/>
        <v>25.5</v>
      </c>
      <c r="W13" s="7">
        <f t="shared" si="37"/>
        <v>25.5</v>
      </c>
      <c r="X13" s="7">
        <f t="shared" si="37"/>
        <v>25.5</v>
      </c>
      <c r="Y13" s="7">
        <f t="shared" si="37"/>
        <v>25.5</v>
      </c>
      <c r="Z13" s="7">
        <f t="shared" si="37"/>
        <v>25.5</v>
      </c>
      <c r="AA13" s="7">
        <f t="shared" si="37"/>
        <v>25.5</v>
      </c>
      <c r="AB13" s="9">
        <f t="shared" si="6"/>
        <v>306</v>
      </c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9">
        <f t="shared" si="7"/>
        <v>0</v>
      </c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6">
        <f t="shared" si="8"/>
        <v>0</v>
      </c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6">
        <f t="shared" si="9"/>
        <v>0</v>
      </c>
      <c r="BP13" s="3">
        <f>168/12</f>
        <v>14</v>
      </c>
      <c r="BQ13" s="3">
        <f t="shared" ref="BQ13:CA13" si="38">168/12</f>
        <v>14</v>
      </c>
      <c r="BR13" s="3">
        <f t="shared" si="38"/>
        <v>14</v>
      </c>
      <c r="BS13" s="3">
        <f t="shared" si="38"/>
        <v>14</v>
      </c>
      <c r="BT13" s="3">
        <f t="shared" si="38"/>
        <v>14</v>
      </c>
      <c r="BU13" s="3">
        <f t="shared" si="38"/>
        <v>14</v>
      </c>
      <c r="BV13" s="3">
        <f t="shared" si="38"/>
        <v>14</v>
      </c>
      <c r="BW13" s="3">
        <f t="shared" si="38"/>
        <v>14</v>
      </c>
      <c r="BX13" s="3">
        <f t="shared" si="38"/>
        <v>14</v>
      </c>
      <c r="BY13" s="3">
        <f t="shared" si="38"/>
        <v>14</v>
      </c>
      <c r="BZ13" s="3">
        <f t="shared" si="38"/>
        <v>14</v>
      </c>
      <c r="CA13" s="3">
        <f t="shared" si="38"/>
        <v>14</v>
      </c>
      <c r="CB13" s="6">
        <f t="shared" si="10"/>
        <v>168</v>
      </c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9">
        <f t="shared" si="11"/>
        <v>0</v>
      </c>
      <c r="CP13" s="6">
        <f t="shared" si="12"/>
        <v>246</v>
      </c>
      <c r="CQ13" s="3">
        <f t="shared" ref="CQ13:DB13" si="39">246/12</f>
        <v>20.5</v>
      </c>
      <c r="CR13" s="3">
        <f t="shared" si="39"/>
        <v>20.5</v>
      </c>
      <c r="CS13" s="3">
        <f t="shared" si="39"/>
        <v>20.5</v>
      </c>
      <c r="CT13" s="3">
        <f t="shared" si="39"/>
        <v>20.5</v>
      </c>
      <c r="CU13" s="3">
        <f t="shared" si="39"/>
        <v>20.5</v>
      </c>
      <c r="CV13" s="3">
        <f t="shared" si="39"/>
        <v>20.5</v>
      </c>
      <c r="CW13" s="3">
        <f t="shared" si="39"/>
        <v>20.5</v>
      </c>
      <c r="CX13" s="3">
        <f t="shared" si="39"/>
        <v>20.5</v>
      </c>
      <c r="CY13" s="3">
        <f t="shared" si="39"/>
        <v>20.5</v>
      </c>
      <c r="CZ13" s="3">
        <f t="shared" si="39"/>
        <v>20.5</v>
      </c>
      <c r="DA13" s="3">
        <f t="shared" si="39"/>
        <v>20.5</v>
      </c>
      <c r="DB13" s="3">
        <f t="shared" si="39"/>
        <v>20.5</v>
      </c>
      <c r="DC13" s="6">
        <f t="shared" si="13"/>
        <v>246</v>
      </c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2">
        <f t="shared" si="14"/>
        <v>0</v>
      </c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2">
        <f t="shared" si="15"/>
        <v>0</v>
      </c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10">
        <f t="shared" si="17"/>
        <v>0</v>
      </c>
    </row>
    <row r="14" spans="1:146" ht="16" x14ac:dyDescent="0.2">
      <c r="A14" s="120" t="e" cm="1">
        <f t="array" ref="A14">_xlfn.XLOOKUP(B14&amp;C14,#REF! &amp;#REF!,#REF!)</f>
        <v>#REF!</v>
      </c>
      <c r="B14" s="18" t="s">
        <v>84</v>
      </c>
      <c r="C14" s="117" t="s">
        <v>85</v>
      </c>
      <c r="D14" s="23" t="s">
        <v>86</v>
      </c>
      <c r="E14" s="23" t="s">
        <v>43</v>
      </c>
      <c r="F14" s="21" t="s">
        <v>87</v>
      </c>
      <c r="G14" s="26">
        <v>1</v>
      </c>
      <c r="H14" s="26">
        <v>0.5</v>
      </c>
      <c r="I14" s="3">
        <f t="shared" si="0"/>
        <v>0.5</v>
      </c>
      <c r="J14" s="3">
        <f t="shared" si="1"/>
        <v>0.4</v>
      </c>
      <c r="K14" s="3">
        <f t="shared" si="2"/>
        <v>0.1</v>
      </c>
      <c r="L14" s="4">
        <v>1440</v>
      </c>
      <c r="M14" s="4">
        <f t="shared" si="3"/>
        <v>720</v>
      </c>
      <c r="N14" s="5">
        <f t="shared" si="4"/>
        <v>720</v>
      </c>
      <c r="O14" s="9">
        <f t="shared" si="5"/>
        <v>576</v>
      </c>
      <c r="P14" s="25">
        <f t="shared" ref="P14:AA14" si="40">576/12</f>
        <v>48</v>
      </c>
      <c r="Q14" s="25">
        <f t="shared" si="40"/>
        <v>48</v>
      </c>
      <c r="R14" s="25">
        <f t="shared" si="40"/>
        <v>48</v>
      </c>
      <c r="S14" s="25">
        <f t="shared" si="40"/>
        <v>48</v>
      </c>
      <c r="T14" s="25">
        <f t="shared" si="40"/>
        <v>48</v>
      </c>
      <c r="U14" s="25">
        <f t="shared" si="40"/>
        <v>48</v>
      </c>
      <c r="V14" s="25">
        <f t="shared" si="40"/>
        <v>48</v>
      </c>
      <c r="W14" s="25">
        <f t="shared" si="40"/>
        <v>48</v>
      </c>
      <c r="X14" s="25">
        <f t="shared" si="40"/>
        <v>48</v>
      </c>
      <c r="Y14" s="25">
        <f t="shared" si="40"/>
        <v>48</v>
      </c>
      <c r="Z14" s="25">
        <f t="shared" si="40"/>
        <v>48</v>
      </c>
      <c r="AA14" s="25">
        <f t="shared" si="40"/>
        <v>48</v>
      </c>
      <c r="AB14" s="9">
        <f t="shared" si="6"/>
        <v>576</v>
      </c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9">
        <f t="shared" si="7"/>
        <v>0</v>
      </c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6">
        <f t="shared" si="8"/>
        <v>0</v>
      </c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6">
        <f t="shared" si="9"/>
        <v>0</v>
      </c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6">
        <f t="shared" si="10"/>
        <v>0</v>
      </c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9">
        <f t="shared" si="11"/>
        <v>0</v>
      </c>
      <c r="CP14" s="6">
        <f t="shared" si="12"/>
        <v>144</v>
      </c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6">
        <f t="shared" si="13"/>
        <v>0</v>
      </c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">
        <f t="shared" si="14"/>
        <v>0</v>
      </c>
      <c r="DQ14" s="26">
        <f t="shared" ref="DQ14:EB14" si="41">144/12</f>
        <v>12</v>
      </c>
      <c r="DR14" s="26">
        <f t="shared" si="41"/>
        <v>12</v>
      </c>
      <c r="DS14" s="26">
        <f t="shared" si="41"/>
        <v>12</v>
      </c>
      <c r="DT14" s="26">
        <f t="shared" si="41"/>
        <v>12</v>
      </c>
      <c r="DU14" s="26">
        <f t="shared" si="41"/>
        <v>12</v>
      </c>
      <c r="DV14" s="26">
        <f t="shared" si="41"/>
        <v>12</v>
      </c>
      <c r="DW14" s="26">
        <f t="shared" si="41"/>
        <v>12</v>
      </c>
      <c r="DX14" s="26">
        <f t="shared" si="41"/>
        <v>12</v>
      </c>
      <c r="DY14" s="26">
        <f t="shared" si="41"/>
        <v>12</v>
      </c>
      <c r="DZ14" s="26">
        <f t="shared" si="41"/>
        <v>12</v>
      </c>
      <c r="EA14" s="26">
        <f t="shared" si="41"/>
        <v>12</v>
      </c>
      <c r="EB14" s="26">
        <f t="shared" si="41"/>
        <v>12</v>
      </c>
      <c r="EC14" s="2">
        <f t="shared" si="15"/>
        <v>144</v>
      </c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10">
        <f t="shared" si="17"/>
        <v>0</v>
      </c>
    </row>
    <row r="15" spans="1:146" ht="16" x14ac:dyDescent="0.2">
      <c r="A15" s="120" t="e" cm="1">
        <f t="array" ref="A15">_xlfn.XLOOKUP(B15&amp;C15,#REF! &amp;#REF!,#REF!)</f>
        <v>#REF!</v>
      </c>
      <c r="B15" s="18" t="s">
        <v>88</v>
      </c>
      <c r="C15" s="117" t="s">
        <v>89</v>
      </c>
      <c r="D15" s="19" t="s">
        <v>90</v>
      </c>
      <c r="E15" s="19" t="s">
        <v>43</v>
      </c>
      <c r="F15" s="21" t="s">
        <v>91</v>
      </c>
      <c r="G15" s="3">
        <v>1</v>
      </c>
      <c r="H15" s="3">
        <v>0.75</v>
      </c>
      <c r="I15" s="3">
        <f t="shared" si="0"/>
        <v>0.25</v>
      </c>
      <c r="J15" s="3">
        <f t="shared" si="1"/>
        <v>0.58125000000000004</v>
      </c>
      <c r="K15" s="3">
        <f t="shared" si="2"/>
        <v>0.16875000000000001</v>
      </c>
      <c r="L15" s="4">
        <v>1440</v>
      </c>
      <c r="M15" s="4">
        <f t="shared" si="3"/>
        <v>1080</v>
      </c>
      <c r="N15" s="5">
        <f t="shared" si="4"/>
        <v>1080</v>
      </c>
      <c r="O15" s="9">
        <f t="shared" si="5"/>
        <v>837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9">
        <f t="shared" si="6"/>
        <v>0</v>
      </c>
      <c r="AC15" s="3">
        <f t="shared" ref="AC15:AN15" si="42">1440*0.75/12 - (243/12)</f>
        <v>69.75</v>
      </c>
      <c r="AD15" s="3">
        <f t="shared" si="42"/>
        <v>69.75</v>
      </c>
      <c r="AE15" s="3">
        <f t="shared" si="42"/>
        <v>69.75</v>
      </c>
      <c r="AF15" s="3">
        <f t="shared" si="42"/>
        <v>69.75</v>
      </c>
      <c r="AG15" s="3">
        <f t="shared" si="42"/>
        <v>69.75</v>
      </c>
      <c r="AH15" s="3">
        <f t="shared" si="42"/>
        <v>69.75</v>
      </c>
      <c r="AI15" s="3">
        <f t="shared" si="42"/>
        <v>69.75</v>
      </c>
      <c r="AJ15" s="3">
        <f t="shared" si="42"/>
        <v>69.75</v>
      </c>
      <c r="AK15" s="3">
        <f t="shared" si="42"/>
        <v>69.75</v>
      </c>
      <c r="AL15" s="3">
        <f t="shared" si="42"/>
        <v>69.75</v>
      </c>
      <c r="AM15" s="3">
        <f t="shared" si="42"/>
        <v>69.75</v>
      </c>
      <c r="AN15" s="3">
        <f t="shared" si="42"/>
        <v>69.75</v>
      </c>
      <c r="AO15" s="9">
        <f t="shared" si="7"/>
        <v>837</v>
      </c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6">
        <f t="shared" si="8"/>
        <v>0</v>
      </c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6">
        <f t="shared" si="9"/>
        <v>0</v>
      </c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6">
        <f t="shared" si="10"/>
        <v>0</v>
      </c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9">
        <f t="shared" si="11"/>
        <v>0</v>
      </c>
      <c r="CP15" s="6">
        <f t="shared" si="12"/>
        <v>243</v>
      </c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6">
        <f t="shared" si="13"/>
        <v>0</v>
      </c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2">
        <f t="shared" si="14"/>
        <v>0</v>
      </c>
      <c r="DQ15" s="3">
        <f t="shared" ref="DQ15:EB15" si="43">243/12</f>
        <v>20.25</v>
      </c>
      <c r="DR15" s="3">
        <f t="shared" si="43"/>
        <v>20.25</v>
      </c>
      <c r="DS15" s="3">
        <f t="shared" si="43"/>
        <v>20.25</v>
      </c>
      <c r="DT15" s="3">
        <f t="shared" si="43"/>
        <v>20.25</v>
      </c>
      <c r="DU15" s="3">
        <f t="shared" si="43"/>
        <v>20.25</v>
      </c>
      <c r="DV15" s="3">
        <f t="shared" si="43"/>
        <v>20.25</v>
      </c>
      <c r="DW15" s="3">
        <f t="shared" si="43"/>
        <v>20.25</v>
      </c>
      <c r="DX15" s="3">
        <f t="shared" si="43"/>
        <v>20.25</v>
      </c>
      <c r="DY15" s="3">
        <f t="shared" si="43"/>
        <v>20.25</v>
      </c>
      <c r="DZ15" s="3">
        <f t="shared" si="43"/>
        <v>20.25</v>
      </c>
      <c r="EA15" s="3">
        <f t="shared" si="43"/>
        <v>20.25</v>
      </c>
      <c r="EB15" s="3">
        <f t="shared" si="43"/>
        <v>20.25</v>
      </c>
      <c r="EC15" s="2">
        <f t="shared" si="15"/>
        <v>243</v>
      </c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10">
        <f t="shared" si="17"/>
        <v>0</v>
      </c>
    </row>
    <row r="16" spans="1:146" ht="16" x14ac:dyDescent="0.2">
      <c r="A16" s="120" t="e" cm="1">
        <f t="array" ref="A16">_xlfn.XLOOKUP(B16&amp;C16,#REF! &amp;#REF!,#REF!)</f>
        <v>#REF!</v>
      </c>
      <c r="B16" s="18" t="s">
        <v>92</v>
      </c>
      <c r="C16" s="117" t="s">
        <v>93</v>
      </c>
      <c r="D16" s="23"/>
      <c r="E16" s="23"/>
      <c r="F16" s="28" t="s">
        <v>94</v>
      </c>
      <c r="G16" s="26">
        <v>1</v>
      </c>
      <c r="H16" s="26">
        <v>0.2</v>
      </c>
      <c r="I16" s="3">
        <f t="shared" si="0"/>
        <v>0.8</v>
      </c>
      <c r="J16" s="3">
        <f t="shared" si="1"/>
        <v>0.2</v>
      </c>
      <c r="K16" s="3">
        <f t="shared" si="2"/>
        <v>0</v>
      </c>
      <c r="L16" s="4">
        <v>1440</v>
      </c>
      <c r="M16" s="4">
        <f t="shared" si="3"/>
        <v>288</v>
      </c>
      <c r="N16" s="5">
        <f t="shared" si="4"/>
        <v>288</v>
      </c>
      <c r="O16" s="9">
        <f t="shared" si="5"/>
        <v>288</v>
      </c>
      <c r="P16" s="25">
        <f t="shared" ref="P16:AA16" si="44">144/12</f>
        <v>12</v>
      </c>
      <c r="Q16" s="25">
        <f t="shared" si="44"/>
        <v>12</v>
      </c>
      <c r="R16" s="25">
        <f t="shared" si="44"/>
        <v>12</v>
      </c>
      <c r="S16" s="25">
        <f t="shared" si="44"/>
        <v>12</v>
      </c>
      <c r="T16" s="25">
        <f t="shared" si="44"/>
        <v>12</v>
      </c>
      <c r="U16" s="25">
        <f t="shared" si="44"/>
        <v>12</v>
      </c>
      <c r="V16" s="25">
        <f t="shared" si="44"/>
        <v>12</v>
      </c>
      <c r="W16" s="25">
        <f t="shared" si="44"/>
        <v>12</v>
      </c>
      <c r="X16" s="25">
        <f t="shared" si="44"/>
        <v>12</v>
      </c>
      <c r="Y16" s="25">
        <f t="shared" si="44"/>
        <v>12</v>
      </c>
      <c r="Z16" s="25">
        <f t="shared" si="44"/>
        <v>12</v>
      </c>
      <c r="AA16" s="25">
        <f t="shared" si="44"/>
        <v>12</v>
      </c>
      <c r="AB16" s="9">
        <f t="shared" si="6"/>
        <v>144</v>
      </c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9">
        <f t="shared" si="7"/>
        <v>0</v>
      </c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6">
        <f t="shared" si="8"/>
        <v>0</v>
      </c>
      <c r="BC16" s="26">
        <f t="shared" ref="BC16:BN16" si="45">144/12</f>
        <v>12</v>
      </c>
      <c r="BD16" s="26">
        <f t="shared" si="45"/>
        <v>12</v>
      </c>
      <c r="BE16" s="26">
        <f t="shared" si="45"/>
        <v>12</v>
      </c>
      <c r="BF16" s="26">
        <f t="shared" si="45"/>
        <v>12</v>
      </c>
      <c r="BG16" s="26">
        <f t="shared" si="45"/>
        <v>12</v>
      </c>
      <c r="BH16" s="26">
        <f t="shared" si="45"/>
        <v>12</v>
      </c>
      <c r="BI16" s="26">
        <f t="shared" si="45"/>
        <v>12</v>
      </c>
      <c r="BJ16" s="26">
        <f t="shared" si="45"/>
        <v>12</v>
      </c>
      <c r="BK16" s="26">
        <f t="shared" si="45"/>
        <v>12</v>
      </c>
      <c r="BL16" s="26">
        <f t="shared" si="45"/>
        <v>12</v>
      </c>
      <c r="BM16" s="26">
        <f t="shared" si="45"/>
        <v>12</v>
      </c>
      <c r="BN16" s="26">
        <f t="shared" si="45"/>
        <v>12</v>
      </c>
      <c r="BO16" s="6">
        <f t="shared" si="9"/>
        <v>144</v>
      </c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6">
        <f t="shared" si="10"/>
        <v>0</v>
      </c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9">
        <f t="shared" si="11"/>
        <v>0</v>
      </c>
      <c r="CP16" s="6">
        <f t="shared" si="12"/>
        <v>0</v>
      </c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6">
        <f t="shared" si="13"/>
        <v>0</v>
      </c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">
        <f t="shared" si="14"/>
        <v>0</v>
      </c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">
        <f t="shared" si="15"/>
        <v>0</v>
      </c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10">
        <f t="shared" si="17"/>
        <v>0</v>
      </c>
    </row>
    <row r="17" spans="1:146" ht="16" x14ac:dyDescent="0.2">
      <c r="A17" s="120" t="e" cm="1">
        <f t="array" ref="A17">_xlfn.XLOOKUP(B17&amp;C17,#REF! &amp;#REF!,#REF!)</f>
        <v>#REF!</v>
      </c>
      <c r="B17" s="18" t="s">
        <v>95</v>
      </c>
      <c r="C17" s="118" t="s">
        <v>96</v>
      </c>
      <c r="D17" s="19"/>
      <c r="E17" s="19"/>
      <c r="F17" s="22"/>
      <c r="G17" s="3">
        <v>1</v>
      </c>
      <c r="H17" s="3">
        <v>1</v>
      </c>
      <c r="I17" s="3">
        <f t="shared" si="0"/>
        <v>0</v>
      </c>
      <c r="J17" s="3">
        <f t="shared" si="1"/>
        <v>1</v>
      </c>
      <c r="K17" s="3">
        <f t="shared" si="2"/>
        <v>0</v>
      </c>
      <c r="L17" s="4">
        <v>1440</v>
      </c>
      <c r="M17" s="4">
        <f t="shared" si="3"/>
        <v>1440</v>
      </c>
      <c r="N17" s="5">
        <f t="shared" si="4"/>
        <v>1440</v>
      </c>
      <c r="O17" s="9">
        <f t="shared" si="5"/>
        <v>1440</v>
      </c>
      <c r="P17" s="7">
        <f>1272/12</f>
        <v>106</v>
      </c>
      <c r="Q17" s="7">
        <f t="shared" ref="Q17:AA17" si="46">1272/12</f>
        <v>106</v>
      </c>
      <c r="R17" s="7">
        <f t="shared" si="46"/>
        <v>106</v>
      </c>
      <c r="S17" s="7">
        <f t="shared" si="46"/>
        <v>106</v>
      </c>
      <c r="T17" s="7">
        <f t="shared" si="46"/>
        <v>106</v>
      </c>
      <c r="U17" s="7">
        <f t="shared" si="46"/>
        <v>106</v>
      </c>
      <c r="V17" s="7">
        <f t="shared" si="46"/>
        <v>106</v>
      </c>
      <c r="W17" s="7">
        <f t="shared" si="46"/>
        <v>106</v>
      </c>
      <c r="X17" s="7">
        <f t="shared" si="46"/>
        <v>106</v>
      </c>
      <c r="Y17" s="7">
        <f t="shared" si="46"/>
        <v>106</v>
      </c>
      <c r="Z17" s="7">
        <f t="shared" si="46"/>
        <v>106</v>
      </c>
      <c r="AA17" s="7">
        <f t="shared" si="46"/>
        <v>106</v>
      </c>
      <c r="AB17" s="9">
        <f t="shared" si="6"/>
        <v>1272</v>
      </c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9">
        <f t="shared" si="7"/>
        <v>0</v>
      </c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6">
        <f t="shared" si="8"/>
        <v>0</v>
      </c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6">
        <f t="shared" si="9"/>
        <v>0</v>
      </c>
      <c r="BP17" s="3">
        <f>168/12</f>
        <v>14</v>
      </c>
      <c r="BQ17" s="3">
        <f t="shared" ref="BQ17:CA17" si="47">168/12</f>
        <v>14</v>
      </c>
      <c r="BR17" s="3">
        <f t="shared" si="47"/>
        <v>14</v>
      </c>
      <c r="BS17" s="3">
        <f t="shared" si="47"/>
        <v>14</v>
      </c>
      <c r="BT17" s="3">
        <f t="shared" si="47"/>
        <v>14</v>
      </c>
      <c r="BU17" s="3">
        <f t="shared" si="47"/>
        <v>14</v>
      </c>
      <c r="BV17" s="3">
        <f t="shared" si="47"/>
        <v>14</v>
      </c>
      <c r="BW17" s="3">
        <f t="shared" si="47"/>
        <v>14</v>
      </c>
      <c r="BX17" s="3">
        <f t="shared" si="47"/>
        <v>14</v>
      </c>
      <c r="BY17" s="3">
        <f t="shared" si="47"/>
        <v>14</v>
      </c>
      <c r="BZ17" s="3">
        <f t="shared" si="47"/>
        <v>14</v>
      </c>
      <c r="CA17" s="3">
        <f t="shared" si="47"/>
        <v>14</v>
      </c>
      <c r="CB17" s="6">
        <f t="shared" si="10"/>
        <v>168</v>
      </c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9">
        <f t="shared" si="11"/>
        <v>0</v>
      </c>
      <c r="CP17" s="6">
        <f t="shared" si="12"/>
        <v>0</v>
      </c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6">
        <f t="shared" si="13"/>
        <v>0</v>
      </c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2">
        <f t="shared" si="14"/>
        <v>0</v>
      </c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2">
        <f t="shared" si="15"/>
        <v>0</v>
      </c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10">
        <f t="shared" si="17"/>
        <v>0</v>
      </c>
    </row>
    <row r="18" spans="1:146" ht="16" x14ac:dyDescent="0.2">
      <c r="A18" s="120" t="e" cm="1">
        <f t="array" ref="A18">_xlfn.XLOOKUP(B18&amp;C18,#REF! &amp;#REF!,#REF!)</f>
        <v>#REF!</v>
      </c>
      <c r="B18" s="18" t="s">
        <v>97</v>
      </c>
      <c r="C18" s="118" t="s">
        <v>98</v>
      </c>
      <c r="D18" s="19" t="s">
        <v>99</v>
      </c>
      <c r="E18" s="19"/>
      <c r="F18" s="21" t="s">
        <v>100</v>
      </c>
      <c r="G18" s="3">
        <v>1</v>
      </c>
      <c r="H18" s="3">
        <v>0.5</v>
      </c>
      <c r="I18" s="3">
        <f t="shared" si="0"/>
        <v>0.5</v>
      </c>
      <c r="J18" s="3">
        <f t="shared" si="1"/>
        <v>0.2</v>
      </c>
      <c r="K18" s="3">
        <f t="shared" si="2"/>
        <v>0.3</v>
      </c>
      <c r="L18" s="4">
        <v>1440</v>
      </c>
      <c r="M18" s="4">
        <f t="shared" si="3"/>
        <v>720</v>
      </c>
      <c r="N18" s="5">
        <f t="shared" si="4"/>
        <v>720</v>
      </c>
      <c r="O18" s="9">
        <f t="shared" si="5"/>
        <v>288</v>
      </c>
      <c r="P18" s="7">
        <f t="shared" ref="P18:AA18" si="48">0.2*1440/12</f>
        <v>24</v>
      </c>
      <c r="Q18" s="7">
        <f t="shared" si="48"/>
        <v>24</v>
      </c>
      <c r="R18" s="7">
        <f t="shared" si="48"/>
        <v>24</v>
      </c>
      <c r="S18" s="7">
        <f t="shared" si="48"/>
        <v>24</v>
      </c>
      <c r="T18" s="7">
        <f t="shared" si="48"/>
        <v>24</v>
      </c>
      <c r="U18" s="7">
        <f t="shared" si="48"/>
        <v>24</v>
      </c>
      <c r="V18" s="7">
        <f t="shared" si="48"/>
        <v>24</v>
      </c>
      <c r="W18" s="7">
        <f t="shared" si="48"/>
        <v>24</v>
      </c>
      <c r="X18" s="7">
        <f t="shared" si="48"/>
        <v>24</v>
      </c>
      <c r="Y18" s="7">
        <f t="shared" si="48"/>
        <v>24</v>
      </c>
      <c r="Z18" s="7">
        <f t="shared" si="48"/>
        <v>24</v>
      </c>
      <c r="AA18" s="7">
        <f t="shared" si="48"/>
        <v>24</v>
      </c>
      <c r="AB18" s="9">
        <f t="shared" si="6"/>
        <v>288</v>
      </c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9">
        <f t="shared" si="7"/>
        <v>0</v>
      </c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6">
        <f t="shared" si="8"/>
        <v>0</v>
      </c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6">
        <f t="shared" si="9"/>
        <v>0</v>
      </c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6">
        <f t="shared" si="10"/>
        <v>0</v>
      </c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9">
        <f t="shared" si="11"/>
        <v>0</v>
      </c>
      <c r="CP18" s="6">
        <f t="shared" si="12"/>
        <v>432</v>
      </c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6">
        <f t="shared" si="13"/>
        <v>0</v>
      </c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2">
        <f t="shared" si="14"/>
        <v>0</v>
      </c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2">
        <f t="shared" si="15"/>
        <v>0</v>
      </c>
      <c r="ED18" s="3">
        <f t="shared" ref="ED18:EO18" si="49">0.3*1440/12</f>
        <v>36</v>
      </c>
      <c r="EE18" s="3">
        <f t="shared" si="49"/>
        <v>36</v>
      </c>
      <c r="EF18" s="3">
        <f t="shared" si="49"/>
        <v>36</v>
      </c>
      <c r="EG18" s="3">
        <f t="shared" si="49"/>
        <v>36</v>
      </c>
      <c r="EH18" s="3">
        <f t="shared" si="49"/>
        <v>36</v>
      </c>
      <c r="EI18" s="3">
        <f t="shared" si="49"/>
        <v>36</v>
      </c>
      <c r="EJ18" s="3">
        <f t="shared" si="49"/>
        <v>36</v>
      </c>
      <c r="EK18" s="3">
        <f t="shared" si="49"/>
        <v>36</v>
      </c>
      <c r="EL18" s="3">
        <f t="shared" si="49"/>
        <v>36</v>
      </c>
      <c r="EM18" s="3">
        <f t="shared" si="49"/>
        <v>36</v>
      </c>
      <c r="EN18" s="3">
        <f t="shared" si="49"/>
        <v>36</v>
      </c>
      <c r="EO18" s="3">
        <f t="shared" si="49"/>
        <v>36</v>
      </c>
      <c r="EP18" s="10">
        <f t="shared" si="17"/>
        <v>432</v>
      </c>
    </row>
    <row r="19" spans="1:146" ht="16" x14ac:dyDescent="0.2">
      <c r="A19" s="120" t="e" cm="1">
        <f t="array" ref="A19">_xlfn.XLOOKUP(B19&amp;C19,#REF! &amp;#REF!,#REF!)</f>
        <v>#REF!</v>
      </c>
      <c r="B19" s="18" t="s">
        <v>101</v>
      </c>
      <c r="C19" s="117" t="s">
        <v>102</v>
      </c>
      <c r="D19" s="19" t="s">
        <v>103</v>
      </c>
      <c r="E19" s="19" t="s">
        <v>43</v>
      </c>
      <c r="F19" s="21" t="s">
        <v>104</v>
      </c>
      <c r="G19" s="3">
        <v>1</v>
      </c>
      <c r="H19" s="3">
        <v>0.6</v>
      </c>
      <c r="I19" s="3">
        <f t="shared" si="0"/>
        <v>0.4</v>
      </c>
      <c r="J19" s="3">
        <f t="shared" si="1"/>
        <v>0.5</v>
      </c>
      <c r="K19" s="3">
        <f t="shared" si="2"/>
        <v>9.9999999999999992E-2</v>
      </c>
      <c r="L19" s="4">
        <v>1440</v>
      </c>
      <c r="M19" s="4">
        <f t="shared" si="3"/>
        <v>864</v>
      </c>
      <c r="N19" s="5">
        <f t="shared" si="4"/>
        <v>864</v>
      </c>
      <c r="O19" s="9">
        <f t="shared" si="5"/>
        <v>720</v>
      </c>
      <c r="P19" s="7">
        <f t="shared" ref="P19:AA19" si="50">+(0.6*1440/12)-(96/12)-(48/12)</f>
        <v>60</v>
      </c>
      <c r="Q19" s="7">
        <f t="shared" si="50"/>
        <v>60</v>
      </c>
      <c r="R19" s="7">
        <f t="shared" si="50"/>
        <v>60</v>
      </c>
      <c r="S19" s="7">
        <f t="shared" si="50"/>
        <v>60</v>
      </c>
      <c r="T19" s="7">
        <f t="shared" si="50"/>
        <v>60</v>
      </c>
      <c r="U19" s="7">
        <f t="shared" si="50"/>
        <v>60</v>
      </c>
      <c r="V19" s="7">
        <f t="shared" si="50"/>
        <v>60</v>
      </c>
      <c r="W19" s="7">
        <f t="shared" si="50"/>
        <v>60</v>
      </c>
      <c r="X19" s="7">
        <f t="shared" si="50"/>
        <v>60</v>
      </c>
      <c r="Y19" s="7">
        <f t="shared" si="50"/>
        <v>60</v>
      </c>
      <c r="Z19" s="7">
        <f t="shared" si="50"/>
        <v>60</v>
      </c>
      <c r="AA19" s="7">
        <f t="shared" si="50"/>
        <v>60</v>
      </c>
      <c r="AB19" s="9">
        <f t="shared" si="6"/>
        <v>720</v>
      </c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9">
        <f t="shared" si="7"/>
        <v>0</v>
      </c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6">
        <f t="shared" si="8"/>
        <v>0</v>
      </c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6">
        <f t="shared" si="9"/>
        <v>0</v>
      </c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6">
        <f t="shared" si="10"/>
        <v>0</v>
      </c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9">
        <f t="shared" si="11"/>
        <v>0</v>
      </c>
      <c r="CP19" s="6">
        <f t="shared" si="12"/>
        <v>144</v>
      </c>
      <c r="CQ19" s="3">
        <v>4</v>
      </c>
      <c r="CR19" s="3">
        <v>4</v>
      </c>
      <c r="CS19" s="3">
        <v>4</v>
      </c>
      <c r="CT19" s="3">
        <v>4</v>
      </c>
      <c r="CU19" s="3">
        <v>4</v>
      </c>
      <c r="CV19" s="3">
        <v>4</v>
      </c>
      <c r="CW19" s="3">
        <v>4</v>
      </c>
      <c r="CX19" s="3">
        <v>4</v>
      </c>
      <c r="CY19" s="3">
        <v>4</v>
      </c>
      <c r="CZ19" s="3">
        <v>4</v>
      </c>
      <c r="DA19" s="3">
        <v>4</v>
      </c>
      <c r="DB19" s="3">
        <v>4</v>
      </c>
      <c r="DC19" s="6">
        <f t="shared" si="13"/>
        <v>48</v>
      </c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2">
        <f t="shared" si="14"/>
        <v>0</v>
      </c>
      <c r="DQ19" s="3">
        <v>8</v>
      </c>
      <c r="DR19" s="3">
        <v>8</v>
      </c>
      <c r="DS19" s="3">
        <v>8</v>
      </c>
      <c r="DT19" s="3">
        <v>8</v>
      </c>
      <c r="DU19" s="3">
        <v>8</v>
      </c>
      <c r="DV19" s="3">
        <v>8</v>
      </c>
      <c r="DW19" s="3">
        <v>8</v>
      </c>
      <c r="DX19" s="3">
        <v>8</v>
      </c>
      <c r="DY19" s="3">
        <v>8</v>
      </c>
      <c r="DZ19" s="3">
        <v>8</v>
      </c>
      <c r="EA19" s="3">
        <v>8</v>
      </c>
      <c r="EB19" s="3">
        <v>8</v>
      </c>
      <c r="EC19" s="2">
        <f t="shared" si="15"/>
        <v>96</v>
      </c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10">
        <f t="shared" si="17"/>
        <v>0</v>
      </c>
    </row>
    <row r="20" spans="1:146" ht="16" x14ac:dyDescent="0.2">
      <c r="A20" s="120" t="e" cm="1">
        <f t="array" ref="A20">_xlfn.XLOOKUP(B20&amp;C20,#REF! &amp;#REF!,#REF!)</f>
        <v>#REF!</v>
      </c>
      <c r="B20" s="18" t="s">
        <v>105</v>
      </c>
      <c r="C20" s="117" t="s">
        <v>106</v>
      </c>
      <c r="D20" s="19" t="s">
        <v>107</v>
      </c>
      <c r="E20" s="19" t="s">
        <v>43</v>
      </c>
      <c r="F20" s="119" t="s">
        <v>108</v>
      </c>
      <c r="G20" s="3">
        <f>3/12</f>
        <v>0.25</v>
      </c>
      <c r="H20" s="3">
        <v>0.25</v>
      </c>
      <c r="I20" s="3">
        <f t="shared" si="0"/>
        <v>0</v>
      </c>
      <c r="J20" s="3">
        <f t="shared" si="1"/>
        <v>0.17499999999999996</v>
      </c>
      <c r="K20" s="3">
        <f t="shared" si="2"/>
        <v>7.4999999999999997E-2</v>
      </c>
      <c r="L20" s="4">
        <v>1440</v>
      </c>
      <c r="M20" s="4">
        <f t="shared" si="3"/>
        <v>360</v>
      </c>
      <c r="N20" s="5">
        <f t="shared" si="4"/>
        <v>359.99999999999994</v>
      </c>
      <c r="O20" s="9">
        <f t="shared" si="5"/>
        <v>251.99999999999994</v>
      </c>
      <c r="P20" s="7">
        <f>0.7*1440/12 - (200/12)</f>
        <v>67.333333333333314</v>
      </c>
      <c r="Q20" s="7">
        <f>0.7*1440/12 - (200/12)</f>
        <v>67.333333333333314</v>
      </c>
      <c r="R20" s="7">
        <f>0.7*1440/12 - (200/12)</f>
        <v>67.333333333333314</v>
      </c>
      <c r="S20" s="7"/>
      <c r="T20" s="7"/>
      <c r="U20" s="7"/>
      <c r="V20" s="7"/>
      <c r="W20" s="7"/>
      <c r="X20" s="7"/>
      <c r="Y20" s="7"/>
      <c r="Z20" s="7"/>
      <c r="AA20" s="7"/>
      <c r="AB20" s="9">
        <f t="shared" si="6"/>
        <v>201.99999999999994</v>
      </c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9">
        <f t="shared" si="7"/>
        <v>0</v>
      </c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6">
        <f t="shared" si="8"/>
        <v>0</v>
      </c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6">
        <f t="shared" si="9"/>
        <v>0</v>
      </c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6">
        <f t="shared" si="10"/>
        <v>0</v>
      </c>
      <c r="CC20" s="3">
        <f>200/12</f>
        <v>16.666666666666668</v>
      </c>
      <c r="CD20" s="3">
        <f>200/12</f>
        <v>16.666666666666668</v>
      </c>
      <c r="CE20" s="3">
        <f>200/12</f>
        <v>16.666666666666668</v>
      </c>
      <c r="CF20" s="3"/>
      <c r="CG20" s="3"/>
      <c r="CH20" s="3"/>
      <c r="CI20" s="3"/>
      <c r="CJ20" s="3"/>
      <c r="CK20" s="3"/>
      <c r="CL20" s="3"/>
      <c r="CM20" s="3"/>
      <c r="CN20" s="3"/>
      <c r="CO20" s="9">
        <f t="shared" si="11"/>
        <v>50</v>
      </c>
      <c r="CP20" s="6">
        <f t="shared" si="12"/>
        <v>108</v>
      </c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6">
        <f t="shared" si="13"/>
        <v>0</v>
      </c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2">
        <f t="shared" si="14"/>
        <v>0</v>
      </c>
      <c r="DQ20" s="3">
        <f>0.3*1440/12</f>
        <v>36</v>
      </c>
      <c r="DR20" s="3">
        <f>0.3*1440/12</f>
        <v>36</v>
      </c>
      <c r="DS20" s="3">
        <f>0.3*1440/12</f>
        <v>36</v>
      </c>
      <c r="DT20" s="3"/>
      <c r="DU20" s="3"/>
      <c r="DV20" s="3"/>
      <c r="DW20" s="3"/>
      <c r="DX20" s="3"/>
      <c r="DY20" s="3"/>
      <c r="DZ20" s="3"/>
      <c r="EA20" s="3"/>
      <c r="EB20" s="3"/>
      <c r="EC20" s="2">
        <f t="shared" si="15"/>
        <v>108</v>
      </c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10">
        <f t="shared" si="17"/>
        <v>0</v>
      </c>
    </row>
    <row r="21" spans="1:146" ht="16" x14ac:dyDescent="0.2">
      <c r="A21" s="120" t="e" cm="1">
        <f t="array" ref="A21">_xlfn.XLOOKUP(B21&amp;C21,#REF! &amp;#REF!,#REF!)</f>
        <v>#REF!</v>
      </c>
      <c r="B21" s="18" t="s">
        <v>109</v>
      </c>
      <c r="C21" s="117" t="s">
        <v>110</v>
      </c>
      <c r="D21" s="23"/>
      <c r="E21" s="23"/>
      <c r="F21" s="21" t="s">
        <v>111</v>
      </c>
      <c r="G21" s="26">
        <v>0.1</v>
      </c>
      <c r="H21" s="26">
        <v>0.1</v>
      </c>
      <c r="I21" s="3">
        <f t="shared" si="0"/>
        <v>0</v>
      </c>
      <c r="J21" s="3">
        <f t="shared" si="1"/>
        <v>0.1</v>
      </c>
      <c r="K21" s="3">
        <f t="shared" si="2"/>
        <v>0</v>
      </c>
      <c r="L21" s="4">
        <v>1440</v>
      </c>
      <c r="M21" s="4">
        <f t="shared" si="3"/>
        <v>144</v>
      </c>
      <c r="N21" s="5">
        <f t="shared" si="4"/>
        <v>144</v>
      </c>
      <c r="O21" s="9">
        <f t="shared" si="5"/>
        <v>144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9">
        <f t="shared" si="6"/>
        <v>0</v>
      </c>
      <c r="AC21" s="26">
        <f t="shared" ref="AC21:AN21" si="51">0.1*1440/12</f>
        <v>12</v>
      </c>
      <c r="AD21" s="26">
        <f t="shared" si="51"/>
        <v>12</v>
      </c>
      <c r="AE21" s="26">
        <f t="shared" si="51"/>
        <v>12</v>
      </c>
      <c r="AF21" s="26">
        <f t="shared" si="51"/>
        <v>12</v>
      </c>
      <c r="AG21" s="26">
        <f t="shared" si="51"/>
        <v>12</v>
      </c>
      <c r="AH21" s="26">
        <f t="shared" si="51"/>
        <v>12</v>
      </c>
      <c r="AI21" s="26">
        <f t="shared" si="51"/>
        <v>12</v>
      </c>
      <c r="AJ21" s="26">
        <f t="shared" si="51"/>
        <v>12</v>
      </c>
      <c r="AK21" s="26">
        <f t="shared" si="51"/>
        <v>12</v>
      </c>
      <c r="AL21" s="26">
        <f t="shared" si="51"/>
        <v>12</v>
      </c>
      <c r="AM21" s="26">
        <f t="shared" si="51"/>
        <v>12</v>
      </c>
      <c r="AN21" s="26">
        <f t="shared" si="51"/>
        <v>12</v>
      </c>
      <c r="AO21" s="9">
        <f t="shared" si="7"/>
        <v>144</v>
      </c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6">
        <f t="shared" si="8"/>
        <v>0</v>
      </c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6">
        <f t="shared" si="9"/>
        <v>0</v>
      </c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6">
        <f t="shared" si="10"/>
        <v>0</v>
      </c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9">
        <f t="shared" si="11"/>
        <v>0</v>
      </c>
      <c r="CP21" s="6">
        <f t="shared" si="12"/>
        <v>0</v>
      </c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6">
        <f t="shared" si="13"/>
        <v>0</v>
      </c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">
        <f t="shared" si="14"/>
        <v>0</v>
      </c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">
        <f t="shared" si="15"/>
        <v>0</v>
      </c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10">
        <f t="shared" si="17"/>
        <v>0</v>
      </c>
    </row>
    <row r="22" spans="1:146" ht="16" x14ac:dyDescent="0.2">
      <c r="A22" s="120" t="e" cm="1">
        <f t="array" ref="A22">_xlfn.XLOOKUP(B22&amp;C22,#REF! &amp;#REF!,#REF!)</f>
        <v>#REF!</v>
      </c>
      <c r="B22" s="18" t="s">
        <v>112</v>
      </c>
      <c r="C22" s="117" t="s">
        <v>113</v>
      </c>
      <c r="D22" s="23"/>
      <c r="E22" s="23"/>
      <c r="F22" s="21" t="s">
        <v>114</v>
      </c>
      <c r="G22" s="26">
        <v>0.25</v>
      </c>
      <c r="H22" s="26">
        <v>0.25</v>
      </c>
      <c r="I22" s="3">
        <f t="shared" si="0"/>
        <v>0</v>
      </c>
      <c r="J22" s="3">
        <f t="shared" si="1"/>
        <v>0.25</v>
      </c>
      <c r="K22" s="3">
        <f t="shared" si="2"/>
        <v>0</v>
      </c>
      <c r="L22" s="4">
        <v>1440</v>
      </c>
      <c r="M22" s="4">
        <f t="shared" si="3"/>
        <v>360</v>
      </c>
      <c r="N22" s="5">
        <f t="shared" si="4"/>
        <v>360</v>
      </c>
      <c r="O22" s="9">
        <f t="shared" si="5"/>
        <v>360</v>
      </c>
      <c r="P22" s="25">
        <f t="shared" ref="P22:AA22" si="52">0.25*1440/12</f>
        <v>30</v>
      </c>
      <c r="Q22" s="25">
        <f t="shared" si="52"/>
        <v>30</v>
      </c>
      <c r="R22" s="25">
        <f t="shared" si="52"/>
        <v>30</v>
      </c>
      <c r="S22" s="25">
        <f t="shared" si="52"/>
        <v>30</v>
      </c>
      <c r="T22" s="25">
        <f t="shared" si="52"/>
        <v>30</v>
      </c>
      <c r="U22" s="25">
        <f t="shared" si="52"/>
        <v>30</v>
      </c>
      <c r="V22" s="25">
        <f t="shared" si="52"/>
        <v>30</v>
      </c>
      <c r="W22" s="25">
        <f t="shared" si="52"/>
        <v>30</v>
      </c>
      <c r="X22" s="25">
        <f t="shared" si="52"/>
        <v>30</v>
      </c>
      <c r="Y22" s="25">
        <f t="shared" si="52"/>
        <v>30</v>
      </c>
      <c r="Z22" s="25">
        <f t="shared" si="52"/>
        <v>30</v>
      </c>
      <c r="AA22" s="25">
        <f t="shared" si="52"/>
        <v>30</v>
      </c>
      <c r="AB22" s="9">
        <f t="shared" si="6"/>
        <v>360</v>
      </c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9">
        <f t="shared" si="7"/>
        <v>0</v>
      </c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6">
        <f t="shared" si="8"/>
        <v>0</v>
      </c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6">
        <f t="shared" si="9"/>
        <v>0</v>
      </c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6">
        <f t="shared" si="10"/>
        <v>0</v>
      </c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9">
        <f t="shared" si="11"/>
        <v>0</v>
      </c>
      <c r="CP22" s="6">
        <f t="shared" si="12"/>
        <v>0</v>
      </c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6">
        <f t="shared" si="13"/>
        <v>0</v>
      </c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">
        <f t="shared" si="14"/>
        <v>0</v>
      </c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">
        <f t="shared" si="15"/>
        <v>0</v>
      </c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10">
        <f t="shared" si="17"/>
        <v>0</v>
      </c>
    </row>
    <row r="23" spans="1:146" ht="16" x14ac:dyDescent="0.2">
      <c r="A23" s="120" t="e" cm="1">
        <f t="array" ref="A23">_xlfn.XLOOKUP(B23&amp;C23,#REF! &amp;#REF!,#REF!)</f>
        <v>#REF!</v>
      </c>
      <c r="B23" s="18" t="s">
        <v>115</v>
      </c>
      <c r="C23" s="117" t="s">
        <v>116</v>
      </c>
      <c r="D23" s="19"/>
      <c r="E23" s="19"/>
      <c r="F23" s="21"/>
      <c r="G23" s="3">
        <v>0.75</v>
      </c>
      <c r="H23" s="3">
        <v>0.75</v>
      </c>
      <c r="I23" s="3">
        <f t="shared" si="0"/>
        <v>0</v>
      </c>
      <c r="J23" s="3">
        <f t="shared" si="1"/>
        <v>0.75</v>
      </c>
      <c r="K23" s="3">
        <f t="shared" si="2"/>
        <v>0</v>
      </c>
      <c r="L23" s="4">
        <v>1440</v>
      </c>
      <c r="M23" s="4">
        <f t="shared" si="3"/>
        <v>1080</v>
      </c>
      <c r="N23" s="5">
        <f t="shared" si="4"/>
        <v>1080</v>
      </c>
      <c r="O23" s="9">
        <f t="shared" si="5"/>
        <v>1080</v>
      </c>
      <c r="P23" s="7">
        <f t="shared" ref="P23:AA23" si="53">1080/12</f>
        <v>90</v>
      </c>
      <c r="Q23" s="7">
        <f t="shared" si="53"/>
        <v>90</v>
      </c>
      <c r="R23" s="7">
        <f t="shared" si="53"/>
        <v>90</v>
      </c>
      <c r="S23" s="7">
        <f t="shared" si="53"/>
        <v>90</v>
      </c>
      <c r="T23" s="7">
        <f t="shared" si="53"/>
        <v>90</v>
      </c>
      <c r="U23" s="7">
        <f t="shared" si="53"/>
        <v>90</v>
      </c>
      <c r="V23" s="7">
        <f t="shared" si="53"/>
        <v>90</v>
      </c>
      <c r="W23" s="7">
        <f t="shared" si="53"/>
        <v>90</v>
      </c>
      <c r="X23" s="7">
        <f t="shared" si="53"/>
        <v>90</v>
      </c>
      <c r="Y23" s="7">
        <f t="shared" si="53"/>
        <v>90</v>
      </c>
      <c r="Z23" s="7">
        <f t="shared" si="53"/>
        <v>90</v>
      </c>
      <c r="AA23" s="7">
        <f t="shared" si="53"/>
        <v>90</v>
      </c>
      <c r="AB23" s="9">
        <f t="shared" si="6"/>
        <v>1080</v>
      </c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9">
        <f t="shared" si="7"/>
        <v>0</v>
      </c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6">
        <f t="shared" si="8"/>
        <v>0</v>
      </c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6">
        <f t="shared" si="9"/>
        <v>0</v>
      </c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6">
        <f t="shared" si="10"/>
        <v>0</v>
      </c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9">
        <f t="shared" si="11"/>
        <v>0</v>
      </c>
      <c r="CP23" s="6">
        <f t="shared" si="12"/>
        <v>0</v>
      </c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6">
        <f t="shared" si="13"/>
        <v>0</v>
      </c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2">
        <f t="shared" si="14"/>
        <v>0</v>
      </c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2">
        <f t="shared" si="15"/>
        <v>0</v>
      </c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10">
        <f t="shared" si="17"/>
        <v>0</v>
      </c>
    </row>
    <row r="24" spans="1:146" ht="16" x14ac:dyDescent="0.2">
      <c r="A24" s="120" t="e" cm="1">
        <f t="array" ref="A24">_xlfn.XLOOKUP(B24&amp;C24,#REF! &amp;#REF!,#REF!)</f>
        <v>#REF!</v>
      </c>
      <c r="B24" s="18" t="s">
        <v>117</v>
      </c>
      <c r="C24" s="117" t="s">
        <v>118</v>
      </c>
      <c r="D24" s="18"/>
      <c r="E24" s="18" t="s">
        <v>119</v>
      </c>
      <c r="F24" s="21" t="s">
        <v>120</v>
      </c>
      <c r="G24" s="3">
        <v>1</v>
      </c>
      <c r="H24" s="3">
        <v>1</v>
      </c>
      <c r="I24" s="3">
        <f t="shared" si="0"/>
        <v>0</v>
      </c>
      <c r="J24" s="3">
        <f t="shared" si="1"/>
        <v>0.93333333333333335</v>
      </c>
      <c r="K24" s="3">
        <f t="shared" si="2"/>
        <v>6.6666666666666666E-2</v>
      </c>
      <c r="L24" s="4">
        <v>1440</v>
      </c>
      <c r="M24" s="4">
        <f t="shared" si="3"/>
        <v>1440</v>
      </c>
      <c r="N24" s="5">
        <f t="shared" si="4"/>
        <v>1440</v>
      </c>
      <c r="O24" s="9">
        <f t="shared" si="5"/>
        <v>1344</v>
      </c>
      <c r="P24" s="7">
        <f>1144/12</f>
        <v>95.333333333333329</v>
      </c>
      <c r="Q24" s="7">
        <f t="shared" ref="Q24:AA24" si="54">1144/12</f>
        <v>95.333333333333329</v>
      </c>
      <c r="R24" s="7">
        <f t="shared" si="54"/>
        <v>95.333333333333329</v>
      </c>
      <c r="S24" s="7">
        <f t="shared" si="54"/>
        <v>95.333333333333329</v>
      </c>
      <c r="T24" s="7">
        <f t="shared" si="54"/>
        <v>95.333333333333329</v>
      </c>
      <c r="U24" s="7">
        <f t="shared" si="54"/>
        <v>95.333333333333329</v>
      </c>
      <c r="V24" s="7">
        <f t="shared" si="54"/>
        <v>95.333333333333329</v>
      </c>
      <c r="W24" s="7">
        <f t="shared" si="54"/>
        <v>95.333333333333329</v>
      </c>
      <c r="X24" s="7">
        <f t="shared" si="54"/>
        <v>95.333333333333329</v>
      </c>
      <c r="Y24" s="7">
        <f t="shared" si="54"/>
        <v>95.333333333333329</v>
      </c>
      <c r="Z24" s="7">
        <f t="shared" si="54"/>
        <v>95.333333333333329</v>
      </c>
      <c r="AA24" s="7">
        <f t="shared" si="54"/>
        <v>95.333333333333329</v>
      </c>
      <c r="AB24" s="9">
        <f t="shared" si="6"/>
        <v>1144</v>
      </c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9">
        <f t="shared" si="7"/>
        <v>0</v>
      </c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6">
        <f t="shared" si="8"/>
        <v>0</v>
      </c>
      <c r="BC24" s="3">
        <f>0.05*1440/12</f>
        <v>6</v>
      </c>
      <c r="BD24" s="3">
        <f t="shared" ref="BD24:BN24" si="55">0.05*1440/12</f>
        <v>6</v>
      </c>
      <c r="BE24" s="3">
        <f t="shared" si="55"/>
        <v>6</v>
      </c>
      <c r="BF24" s="3">
        <f t="shared" si="55"/>
        <v>6</v>
      </c>
      <c r="BG24" s="3">
        <f t="shared" si="55"/>
        <v>6</v>
      </c>
      <c r="BH24" s="3">
        <f t="shared" si="55"/>
        <v>6</v>
      </c>
      <c r="BI24" s="3">
        <f t="shared" si="55"/>
        <v>6</v>
      </c>
      <c r="BJ24" s="3">
        <f t="shared" si="55"/>
        <v>6</v>
      </c>
      <c r="BK24" s="3">
        <f t="shared" si="55"/>
        <v>6</v>
      </c>
      <c r="BL24" s="3">
        <f t="shared" si="55"/>
        <v>6</v>
      </c>
      <c r="BM24" s="3">
        <f t="shared" si="55"/>
        <v>6</v>
      </c>
      <c r="BN24" s="3">
        <f t="shared" si="55"/>
        <v>6</v>
      </c>
      <c r="BO24" s="6">
        <f t="shared" si="9"/>
        <v>72</v>
      </c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6">
        <f t="shared" si="10"/>
        <v>0</v>
      </c>
      <c r="CC24" s="3">
        <f>128/12</f>
        <v>10.666666666666666</v>
      </c>
      <c r="CD24" s="3">
        <f t="shared" ref="CD24:CN24" si="56">128/12</f>
        <v>10.666666666666666</v>
      </c>
      <c r="CE24" s="3">
        <f t="shared" si="56"/>
        <v>10.666666666666666</v>
      </c>
      <c r="CF24" s="3">
        <f t="shared" si="56"/>
        <v>10.666666666666666</v>
      </c>
      <c r="CG24" s="3">
        <f t="shared" si="56"/>
        <v>10.666666666666666</v>
      </c>
      <c r="CH24" s="3">
        <f t="shared" si="56"/>
        <v>10.666666666666666</v>
      </c>
      <c r="CI24" s="3">
        <f t="shared" si="56"/>
        <v>10.666666666666666</v>
      </c>
      <c r="CJ24" s="3">
        <f t="shared" si="56"/>
        <v>10.666666666666666</v>
      </c>
      <c r="CK24" s="3">
        <f t="shared" si="56"/>
        <v>10.666666666666666</v>
      </c>
      <c r="CL24" s="3">
        <f t="shared" si="56"/>
        <v>10.666666666666666</v>
      </c>
      <c r="CM24" s="3">
        <f t="shared" si="56"/>
        <v>10.666666666666666</v>
      </c>
      <c r="CN24" s="3">
        <f t="shared" si="56"/>
        <v>10.666666666666666</v>
      </c>
      <c r="CO24" s="9">
        <f t="shared" si="11"/>
        <v>128</v>
      </c>
      <c r="CP24" s="6">
        <f t="shared" si="12"/>
        <v>96</v>
      </c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6">
        <f t="shared" si="13"/>
        <v>0</v>
      </c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2">
        <f t="shared" si="14"/>
        <v>0</v>
      </c>
      <c r="DQ24" s="3">
        <f t="shared" ref="DQ24:EB24" si="57">96/12</f>
        <v>8</v>
      </c>
      <c r="DR24" s="3">
        <f t="shared" si="57"/>
        <v>8</v>
      </c>
      <c r="DS24" s="3">
        <f t="shared" si="57"/>
        <v>8</v>
      </c>
      <c r="DT24" s="3">
        <f t="shared" si="57"/>
        <v>8</v>
      </c>
      <c r="DU24" s="3">
        <f t="shared" si="57"/>
        <v>8</v>
      </c>
      <c r="DV24" s="3">
        <f t="shared" si="57"/>
        <v>8</v>
      </c>
      <c r="DW24" s="3">
        <f t="shared" si="57"/>
        <v>8</v>
      </c>
      <c r="DX24" s="3">
        <f t="shared" si="57"/>
        <v>8</v>
      </c>
      <c r="DY24" s="3">
        <f t="shared" si="57"/>
        <v>8</v>
      </c>
      <c r="DZ24" s="3">
        <f t="shared" si="57"/>
        <v>8</v>
      </c>
      <c r="EA24" s="3">
        <f t="shared" si="57"/>
        <v>8</v>
      </c>
      <c r="EB24" s="3">
        <f t="shared" si="57"/>
        <v>8</v>
      </c>
      <c r="EC24" s="2">
        <f t="shared" si="15"/>
        <v>96</v>
      </c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10">
        <f t="shared" si="17"/>
        <v>0</v>
      </c>
    </row>
    <row r="25" spans="1:146" ht="16" x14ac:dyDescent="0.2">
      <c r="A25" s="120" t="e" cm="1">
        <f t="array" ref="A25">_xlfn.XLOOKUP(B25&amp;C25,#REF! &amp;#REF!,#REF!)</f>
        <v>#REF!</v>
      </c>
      <c r="B25" s="18" t="s">
        <v>121</v>
      </c>
      <c r="C25" s="118" t="s">
        <v>122</v>
      </c>
      <c r="D25" s="19" t="s">
        <v>123</v>
      </c>
      <c r="E25" s="19"/>
      <c r="F25" s="31" t="s">
        <v>124</v>
      </c>
      <c r="G25" s="3">
        <v>1</v>
      </c>
      <c r="H25" s="3">
        <v>0.75</v>
      </c>
      <c r="I25" s="3">
        <f t="shared" si="0"/>
        <v>0.25</v>
      </c>
      <c r="J25" s="3">
        <f t="shared" si="1"/>
        <v>0.75</v>
      </c>
      <c r="K25" s="3">
        <f t="shared" si="2"/>
        <v>0</v>
      </c>
      <c r="L25" s="4">
        <v>1440</v>
      </c>
      <c r="M25" s="4">
        <f t="shared" si="3"/>
        <v>1080</v>
      </c>
      <c r="N25" s="5">
        <f t="shared" si="4"/>
        <v>1080</v>
      </c>
      <c r="O25" s="9">
        <f t="shared" si="5"/>
        <v>1080</v>
      </c>
      <c r="P25" s="7">
        <f t="shared" ref="P25:AA25" si="58">0.65*1440/12</f>
        <v>78</v>
      </c>
      <c r="Q25" s="7">
        <f t="shared" si="58"/>
        <v>78</v>
      </c>
      <c r="R25" s="7">
        <f t="shared" si="58"/>
        <v>78</v>
      </c>
      <c r="S25" s="7">
        <f t="shared" si="58"/>
        <v>78</v>
      </c>
      <c r="T25" s="7">
        <f t="shared" si="58"/>
        <v>78</v>
      </c>
      <c r="U25" s="7">
        <f t="shared" si="58"/>
        <v>78</v>
      </c>
      <c r="V25" s="7">
        <f t="shared" si="58"/>
        <v>78</v>
      </c>
      <c r="W25" s="7">
        <f t="shared" si="58"/>
        <v>78</v>
      </c>
      <c r="X25" s="7">
        <f t="shared" si="58"/>
        <v>78</v>
      </c>
      <c r="Y25" s="7">
        <f t="shared" si="58"/>
        <v>78</v>
      </c>
      <c r="Z25" s="7">
        <f t="shared" si="58"/>
        <v>78</v>
      </c>
      <c r="AA25" s="7">
        <f t="shared" si="58"/>
        <v>78</v>
      </c>
      <c r="AB25" s="9">
        <f t="shared" si="6"/>
        <v>936</v>
      </c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9">
        <f t="shared" si="7"/>
        <v>0</v>
      </c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6">
        <f t="shared" si="8"/>
        <v>0</v>
      </c>
      <c r="BC25" s="3">
        <f t="shared" ref="BC25:BN25" si="59">0.1*1440/12</f>
        <v>12</v>
      </c>
      <c r="BD25" s="3">
        <f t="shared" si="59"/>
        <v>12</v>
      </c>
      <c r="BE25" s="3">
        <f t="shared" si="59"/>
        <v>12</v>
      </c>
      <c r="BF25" s="3">
        <f t="shared" si="59"/>
        <v>12</v>
      </c>
      <c r="BG25" s="3">
        <f t="shared" si="59"/>
        <v>12</v>
      </c>
      <c r="BH25" s="3">
        <f t="shared" si="59"/>
        <v>12</v>
      </c>
      <c r="BI25" s="3">
        <f t="shared" si="59"/>
        <v>12</v>
      </c>
      <c r="BJ25" s="3">
        <f t="shared" si="59"/>
        <v>12</v>
      </c>
      <c r="BK25" s="3">
        <f t="shared" si="59"/>
        <v>12</v>
      </c>
      <c r="BL25" s="3">
        <f t="shared" si="59"/>
        <v>12</v>
      </c>
      <c r="BM25" s="3">
        <f t="shared" si="59"/>
        <v>12</v>
      </c>
      <c r="BN25" s="3">
        <f t="shared" si="59"/>
        <v>12</v>
      </c>
      <c r="BO25" s="6">
        <f t="shared" si="9"/>
        <v>144</v>
      </c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6">
        <f t="shared" si="10"/>
        <v>0</v>
      </c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9">
        <f t="shared" si="11"/>
        <v>0</v>
      </c>
      <c r="CP25" s="6">
        <f t="shared" si="12"/>
        <v>0</v>
      </c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6">
        <f t="shared" si="13"/>
        <v>0</v>
      </c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2">
        <f t="shared" si="14"/>
        <v>0</v>
      </c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2">
        <f t="shared" si="15"/>
        <v>0</v>
      </c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10">
        <f t="shared" si="17"/>
        <v>0</v>
      </c>
    </row>
    <row r="26" spans="1:146" ht="16" x14ac:dyDescent="0.2">
      <c r="A26" s="120" t="e" cm="1">
        <f t="array" ref="A26">_xlfn.XLOOKUP(B26&amp;C26,#REF! &amp;#REF!,#REF!)</f>
        <v>#REF!</v>
      </c>
      <c r="B26" s="18" t="s">
        <v>125</v>
      </c>
      <c r="C26" s="117" t="s">
        <v>126</v>
      </c>
      <c r="D26" s="23"/>
      <c r="E26" s="18" t="s">
        <v>43</v>
      </c>
      <c r="F26" s="21"/>
      <c r="G26" s="24">
        <v>1</v>
      </c>
      <c r="H26" s="24">
        <v>1</v>
      </c>
      <c r="I26" s="3">
        <f t="shared" si="0"/>
        <v>0</v>
      </c>
      <c r="J26" s="3">
        <f t="shared" si="1"/>
        <v>0.93333333333333335</v>
      </c>
      <c r="K26" s="3">
        <f t="shared" si="2"/>
        <v>6.6666666666666666E-2</v>
      </c>
      <c r="L26" s="4">
        <v>1440</v>
      </c>
      <c r="M26" s="4">
        <f t="shared" si="3"/>
        <v>1440</v>
      </c>
      <c r="N26" s="5">
        <f t="shared" si="4"/>
        <v>1440</v>
      </c>
      <c r="O26" s="9">
        <f t="shared" si="5"/>
        <v>1344</v>
      </c>
      <c r="P26" s="25">
        <f t="shared" ref="P26:AA26" si="60">1344/12</f>
        <v>112</v>
      </c>
      <c r="Q26" s="25">
        <f t="shared" si="60"/>
        <v>112</v>
      </c>
      <c r="R26" s="25">
        <f t="shared" si="60"/>
        <v>112</v>
      </c>
      <c r="S26" s="25">
        <f t="shared" si="60"/>
        <v>112</v>
      </c>
      <c r="T26" s="25">
        <f t="shared" si="60"/>
        <v>112</v>
      </c>
      <c r="U26" s="25">
        <f t="shared" si="60"/>
        <v>112</v>
      </c>
      <c r="V26" s="25">
        <f t="shared" si="60"/>
        <v>112</v>
      </c>
      <c r="W26" s="25">
        <f t="shared" si="60"/>
        <v>112</v>
      </c>
      <c r="X26" s="25">
        <f t="shared" si="60"/>
        <v>112</v>
      </c>
      <c r="Y26" s="25">
        <f t="shared" si="60"/>
        <v>112</v>
      </c>
      <c r="Z26" s="25">
        <f t="shared" si="60"/>
        <v>112</v>
      </c>
      <c r="AA26" s="25">
        <f t="shared" si="60"/>
        <v>112</v>
      </c>
      <c r="AB26" s="9">
        <f t="shared" si="6"/>
        <v>1344</v>
      </c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9">
        <f t="shared" si="7"/>
        <v>0</v>
      </c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6">
        <f t="shared" si="8"/>
        <v>0</v>
      </c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6">
        <f t="shared" si="9"/>
        <v>0</v>
      </c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6">
        <f t="shared" si="10"/>
        <v>0</v>
      </c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9">
        <f t="shared" si="11"/>
        <v>0</v>
      </c>
      <c r="CP26" s="6">
        <f t="shared" si="12"/>
        <v>96</v>
      </c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6">
        <f t="shared" si="13"/>
        <v>0</v>
      </c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">
        <f t="shared" si="14"/>
        <v>0</v>
      </c>
      <c r="DQ26" s="24">
        <f t="shared" ref="DQ26:EB26" si="61">96/12</f>
        <v>8</v>
      </c>
      <c r="DR26" s="24">
        <f t="shared" si="61"/>
        <v>8</v>
      </c>
      <c r="DS26" s="24">
        <f t="shared" si="61"/>
        <v>8</v>
      </c>
      <c r="DT26" s="24">
        <f t="shared" si="61"/>
        <v>8</v>
      </c>
      <c r="DU26" s="24">
        <f t="shared" si="61"/>
        <v>8</v>
      </c>
      <c r="DV26" s="24">
        <f t="shared" si="61"/>
        <v>8</v>
      </c>
      <c r="DW26" s="24">
        <f t="shared" si="61"/>
        <v>8</v>
      </c>
      <c r="DX26" s="24">
        <f t="shared" si="61"/>
        <v>8</v>
      </c>
      <c r="DY26" s="24">
        <f t="shared" si="61"/>
        <v>8</v>
      </c>
      <c r="DZ26" s="24">
        <f t="shared" si="61"/>
        <v>8</v>
      </c>
      <c r="EA26" s="24">
        <f t="shared" si="61"/>
        <v>8</v>
      </c>
      <c r="EB26" s="24">
        <f t="shared" si="61"/>
        <v>8</v>
      </c>
      <c r="EC26" s="2">
        <f t="shared" si="15"/>
        <v>96</v>
      </c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10">
        <f t="shared" si="17"/>
        <v>0</v>
      </c>
    </row>
    <row r="27" spans="1:146" ht="16" x14ac:dyDescent="0.2">
      <c r="A27" s="120" t="e" cm="1">
        <f t="array" ref="A27">_xlfn.XLOOKUP(B27&amp;C27,#REF! &amp;#REF!,#REF!)</f>
        <v>#REF!</v>
      </c>
      <c r="B27" s="18" t="s">
        <v>127</v>
      </c>
      <c r="C27" s="117" t="s">
        <v>128</v>
      </c>
      <c r="D27" s="23"/>
      <c r="E27" s="23" t="s">
        <v>43</v>
      </c>
      <c r="F27" s="21" t="s">
        <v>129</v>
      </c>
      <c r="G27" s="26">
        <v>1</v>
      </c>
      <c r="H27" s="26">
        <v>1</v>
      </c>
      <c r="I27" s="3">
        <f t="shared" si="0"/>
        <v>0</v>
      </c>
      <c r="J27" s="3">
        <f t="shared" si="1"/>
        <v>0.34722222222222227</v>
      </c>
      <c r="K27" s="3">
        <f t="shared" si="2"/>
        <v>0.6527777777777779</v>
      </c>
      <c r="L27" s="4">
        <v>1440</v>
      </c>
      <c r="M27" s="4">
        <f t="shared" si="3"/>
        <v>1440</v>
      </c>
      <c r="N27" s="5">
        <f t="shared" si="4"/>
        <v>1440.0000000000002</v>
      </c>
      <c r="O27" s="9">
        <f t="shared" si="5"/>
        <v>500.00000000000006</v>
      </c>
      <c r="P27" s="25">
        <f t="shared" ref="P27:AA27" si="62">500/12</f>
        <v>41.666666666666664</v>
      </c>
      <c r="Q27" s="25">
        <f t="shared" si="62"/>
        <v>41.666666666666664</v>
      </c>
      <c r="R27" s="25">
        <f t="shared" si="62"/>
        <v>41.666666666666664</v>
      </c>
      <c r="S27" s="25">
        <f t="shared" si="62"/>
        <v>41.666666666666664</v>
      </c>
      <c r="T27" s="25">
        <f t="shared" si="62"/>
        <v>41.666666666666664</v>
      </c>
      <c r="U27" s="25">
        <f t="shared" si="62"/>
        <v>41.666666666666664</v>
      </c>
      <c r="V27" s="25">
        <f t="shared" si="62"/>
        <v>41.666666666666664</v>
      </c>
      <c r="W27" s="25">
        <f t="shared" si="62"/>
        <v>41.666666666666664</v>
      </c>
      <c r="X27" s="25">
        <f t="shared" si="62"/>
        <v>41.666666666666664</v>
      </c>
      <c r="Y27" s="25">
        <f t="shared" si="62"/>
        <v>41.666666666666664</v>
      </c>
      <c r="Z27" s="25">
        <f t="shared" si="62"/>
        <v>41.666666666666664</v>
      </c>
      <c r="AA27" s="25">
        <f t="shared" si="62"/>
        <v>41.666666666666664</v>
      </c>
      <c r="AB27" s="9">
        <f t="shared" si="6"/>
        <v>500.00000000000006</v>
      </c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9">
        <f t="shared" si="7"/>
        <v>0</v>
      </c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6">
        <f t="shared" si="8"/>
        <v>0</v>
      </c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6">
        <f t="shared" si="9"/>
        <v>0</v>
      </c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6">
        <f t="shared" si="10"/>
        <v>0</v>
      </c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9">
        <f t="shared" si="11"/>
        <v>0</v>
      </c>
      <c r="CP27" s="6">
        <f t="shared" si="12"/>
        <v>940.00000000000011</v>
      </c>
      <c r="CQ27" s="26">
        <f t="shared" ref="CQ27:DB27" si="63">940/12</f>
        <v>78.333333333333329</v>
      </c>
      <c r="CR27" s="26">
        <f t="shared" si="63"/>
        <v>78.333333333333329</v>
      </c>
      <c r="CS27" s="26">
        <f t="shared" si="63"/>
        <v>78.333333333333329</v>
      </c>
      <c r="CT27" s="26">
        <f t="shared" si="63"/>
        <v>78.333333333333329</v>
      </c>
      <c r="CU27" s="26">
        <f t="shared" si="63"/>
        <v>78.333333333333329</v>
      </c>
      <c r="CV27" s="26">
        <f t="shared" si="63"/>
        <v>78.333333333333329</v>
      </c>
      <c r="CW27" s="26">
        <f t="shared" si="63"/>
        <v>78.333333333333329</v>
      </c>
      <c r="CX27" s="26">
        <f t="shared" si="63"/>
        <v>78.333333333333329</v>
      </c>
      <c r="CY27" s="26">
        <f t="shared" si="63"/>
        <v>78.333333333333329</v>
      </c>
      <c r="CZ27" s="26">
        <f t="shared" si="63"/>
        <v>78.333333333333329</v>
      </c>
      <c r="DA27" s="26">
        <f t="shared" si="63"/>
        <v>78.333333333333329</v>
      </c>
      <c r="DB27" s="26">
        <f t="shared" si="63"/>
        <v>78.333333333333329</v>
      </c>
      <c r="DC27" s="6">
        <f t="shared" si="13"/>
        <v>940.00000000000011</v>
      </c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">
        <f t="shared" si="14"/>
        <v>0</v>
      </c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">
        <f t="shared" si="15"/>
        <v>0</v>
      </c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10">
        <f t="shared" si="17"/>
        <v>0</v>
      </c>
    </row>
    <row r="28" spans="1:146" ht="16" x14ac:dyDescent="0.2">
      <c r="A28" s="120" t="e" cm="1">
        <f t="array" ref="A28">_xlfn.XLOOKUP(B28&amp;C28,#REF! &amp;#REF!,#REF!)</f>
        <v>#REF!</v>
      </c>
      <c r="B28" s="18" t="s">
        <v>130</v>
      </c>
      <c r="C28" s="117" t="s">
        <v>131</v>
      </c>
      <c r="D28" s="23"/>
      <c r="E28" s="23"/>
      <c r="F28" s="21" t="s">
        <v>132</v>
      </c>
      <c r="G28" s="26">
        <v>1</v>
      </c>
      <c r="H28" s="26">
        <v>0.5</v>
      </c>
      <c r="I28" s="3">
        <f t="shared" si="0"/>
        <v>0.5</v>
      </c>
      <c r="J28" s="3">
        <f t="shared" si="1"/>
        <v>0.5</v>
      </c>
      <c r="K28" s="3">
        <f t="shared" si="2"/>
        <v>0</v>
      </c>
      <c r="L28" s="4">
        <v>1440</v>
      </c>
      <c r="M28" s="4">
        <f t="shared" si="3"/>
        <v>720</v>
      </c>
      <c r="N28" s="5">
        <f t="shared" si="4"/>
        <v>720</v>
      </c>
      <c r="O28" s="9">
        <f t="shared" si="5"/>
        <v>720</v>
      </c>
      <c r="P28" s="25">
        <f t="shared" ref="P28:AA28" si="64">720/12</f>
        <v>60</v>
      </c>
      <c r="Q28" s="25">
        <f t="shared" si="64"/>
        <v>60</v>
      </c>
      <c r="R28" s="25">
        <f t="shared" si="64"/>
        <v>60</v>
      </c>
      <c r="S28" s="25">
        <f t="shared" si="64"/>
        <v>60</v>
      </c>
      <c r="T28" s="25">
        <f t="shared" si="64"/>
        <v>60</v>
      </c>
      <c r="U28" s="25">
        <f t="shared" si="64"/>
        <v>60</v>
      </c>
      <c r="V28" s="25">
        <f t="shared" si="64"/>
        <v>60</v>
      </c>
      <c r="W28" s="25">
        <f t="shared" si="64"/>
        <v>60</v>
      </c>
      <c r="X28" s="25">
        <f t="shared" si="64"/>
        <v>60</v>
      </c>
      <c r="Y28" s="25">
        <f t="shared" si="64"/>
        <v>60</v>
      </c>
      <c r="Z28" s="25">
        <f t="shared" si="64"/>
        <v>60</v>
      </c>
      <c r="AA28" s="25">
        <f t="shared" si="64"/>
        <v>60</v>
      </c>
      <c r="AB28" s="9">
        <f t="shared" si="6"/>
        <v>720</v>
      </c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9">
        <f t="shared" si="7"/>
        <v>0</v>
      </c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6">
        <f t="shared" si="8"/>
        <v>0</v>
      </c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6">
        <f t="shared" si="9"/>
        <v>0</v>
      </c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6">
        <f t="shared" si="10"/>
        <v>0</v>
      </c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9">
        <f t="shared" si="11"/>
        <v>0</v>
      </c>
      <c r="CP28" s="6">
        <f t="shared" si="12"/>
        <v>0</v>
      </c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6">
        <f t="shared" si="13"/>
        <v>0</v>
      </c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">
        <f t="shared" si="14"/>
        <v>0</v>
      </c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">
        <f t="shared" si="15"/>
        <v>0</v>
      </c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10">
        <f t="shared" si="17"/>
        <v>0</v>
      </c>
    </row>
    <row r="29" spans="1:146" ht="16" x14ac:dyDescent="0.2">
      <c r="A29" s="120" t="e" cm="1">
        <f t="array" ref="A29">_xlfn.XLOOKUP(B29&amp;C29,#REF! &amp;#REF!,#REF!)</f>
        <v>#REF!</v>
      </c>
      <c r="B29" s="18" t="s">
        <v>133</v>
      </c>
      <c r="C29" s="117" t="s">
        <v>134</v>
      </c>
      <c r="D29" s="23" t="s">
        <v>135</v>
      </c>
      <c r="E29" s="23"/>
      <c r="F29" s="21"/>
      <c r="G29" s="26">
        <v>1</v>
      </c>
      <c r="H29" s="26">
        <v>1</v>
      </c>
      <c r="I29" s="3">
        <f t="shared" si="0"/>
        <v>0</v>
      </c>
      <c r="J29" s="3">
        <f t="shared" si="1"/>
        <v>0.5</v>
      </c>
      <c r="K29" s="3">
        <f t="shared" si="2"/>
        <v>0.5</v>
      </c>
      <c r="L29" s="4">
        <v>1440</v>
      </c>
      <c r="M29" s="4">
        <f t="shared" si="3"/>
        <v>1440</v>
      </c>
      <c r="N29" s="5">
        <f t="shared" si="4"/>
        <v>1440</v>
      </c>
      <c r="O29" s="9">
        <f t="shared" si="5"/>
        <v>720</v>
      </c>
      <c r="P29" s="25">
        <f t="shared" ref="P29:AA29" si="65">0.5*1440/12</f>
        <v>60</v>
      </c>
      <c r="Q29" s="25">
        <f t="shared" si="65"/>
        <v>60</v>
      </c>
      <c r="R29" s="25">
        <f t="shared" si="65"/>
        <v>60</v>
      </c>
      <c r="S29" s="25">
        <f t="shared" si="65"/>
        <v>60</v>
      </c>
      <c r="T29" s="25">
        <f t="shared" si="65"/>
        <v>60</v>
      </c>
      <c r="U29" s="25">
        <f t="shared" si="65"/>
        <v>60</v>
      </c>
      <c r="V29" s="25">
        <f t="shared" si="65"/>
        <v>60</v>
      </c>
      <c r="W29" s="25">
        <f t="shared" si="65"/>
        <v>60</v>
      </c>
      <c r="X29" s="25">
        <f t="shared" si="65"/>
        <v>60</v>
      </c>
      <c r="Y29" s="25">
        <f t="shared" si="65"/>
        <v>60</v>
      </c>
      <c r="Z29" s="25">
        <f t="shared" si="65"/>
        <v>60</v>
      </c>
      <c r="AA29" s="25">
        <f t="shared" si="65"/>
        <v>60</v>
      </c>
      <c r="AB29" s="9">
        <f t="shared" si="6"/>
        <v>720</v>
      </c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9">
        <f t="shared" si="7"/>
        <v>0</v>
      </c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6">
        <f t="shared" si="8"/>
        <v>0</v>
      </c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6">
        <f t="shared" si="9"/>
        <v>0</v>
      </c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6">
        <f t="shared" si="10"/>
        <v>0</v>
      </c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9">
        <f t="shared" si="11"/>
        <v>0</v>
      </c>
      <c r="CP29" s="6">
        <f t="shared" si="12"/>
        <v>720</v>
      </c>
      <c r="CQ29" s="26">
        <f t="shared" ref="CQ29:DB29" si="66">0.5*1440/12</f>
        <v>60</v>
      </c>
      <c r="CR29" s="26">
        <f t="shared" si="66"/>
        <v>60</v>
      </c>
      <c r="CS29" s="26">
        <f t="shared" si="66"/>
        <v>60</v>
      </c>
      <c r="CT29" s="26">
        <f t="shared" si="66"/>
        <v>60</v>
      </c>
      <c r="CU29" s="26">
        <f t="shared" si="66"/>
        <v>60</v>
      </c>
      <c r="CV29" s="26">
        <f t="shared" si="66"/>
        <v>60</v>
      </c>
      <c r="CW29" s="26">
        <f t="shared" si="66"/>
        <v>60</v>
      </c>
      <c r="CX29" s="26">
        <f t="shared" si="66"/>
        <v>60</v>
      </c>
      <c r="CY29" s="26">
        <f t="shared" si="66"/>
        <v>60</v>
      </c>
      <c r="CZ29" s="26">
        <f t="shared" si="66"/>
        <v>60</v>
      </c>
      <c r="DA29" s="26">
        <f t="shared" si="66"/>
        <v>60</v>
      </c>
      <c r="DB29" s="26">
        <f t="shared" si="66"/>
        <v>60</v>
      </c>
      <c r="DC29" s="6">
        <f t="shared" si="13"/>
        <v>720</v>
      </c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">
        <f t="shared" si="14"/>
        <v>0</v>
      </c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">
        <f t="shared" si="15"/>
        <v>0</v>
      </c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10">
        <f t="shared" si="17"/>
        <v>0</v>
      </c>
    </row>
    <row r="30" spans="1:146" ht="16" x14ac:dyDescent="0.2">
      <c r="A30" s="120" t="e" cm="1">
        <f t="array" ref="A30">_xlfn.XLOOKUP(B30&amp;C30,#REF! &amp;#REF!,#REF!)</f>
        <v>#REF!</v>
      </c>
      <c r="B30" s="18" t="s">
        <v>136</v>
      </c>
      <c r="C30" s="118" t="s">
        <v>137</v>
      </c>
      <c r="D30" s="23"/>
      <c r="E30" s="23" t="s">
        <v>119</v>
      </c>
      <c r="F30" s="31" t="s">
        <v>138</v>
      </c>
      <c r="G30" s="26">
        <v>0.5</v>
      </c>
      <c r="H30" s="26">
        <v>0.5</v>
      </c>
      <c r="I30" s="3">
        <f t="shared" si="0"/>
        <v>0</v>
      </c>
      <c r="J30" s="3">
        <f t="shared" si="1"/>
        <v>0.20833333333333334</v>
      </c>
      <c r="K30" s="3">
        <f t="shared" si="2"/>
        <v>0.29166666666666669</v>
      </c>
      <c r="L30" s="4">
        <v>1440</v>
      </c>
      <c r="M30" s="4">
        <f t="shared" si="3"/>
        <v>720</v>
      </c>
      <c r="N30" s="5">
        <f t="shared" si="4"/>
        <v>720</v>
      </c>
      <c r="O30" s="9">
        <f t="shared" si="5"/>
        <v>300</v>
      </c>
      <c r="P30" s="25">
        <f>204/6</f>
        <v>34</v>
      </c>
      <c r="Q30" s="25">
        <f t="shared" ref="Q30:U30" si="67">204/6</f>
        <v>34</v>
      </c>
      <c r="R30" s="25">
        <f t="shared" si="67"/>
        <v>34</v>
      </c>
      <c r="S30" s="25">
        <f t="shared" si="67"/>
        <v>34</v>
      </c>
      <c r="T30" s="25">
        <f t="shared" si="67"/>
        <v>34</v>
      </c>
      <c r="U30" s="25">
        <f t="shared" si="67"/>
        <v>34</v>
      </c>
      <c r="V30" s="25"/>
      <c r="W30" s="25"/>
      <c r="X30" s="25"/>
      <c r="Y30" s="25"/>
      <c r="Z30" s="25"/>
      <c r="AA30" s="25"/>
      <c r="AB30" s="9">
        <f t="shared" si="6"/>
        <v>204</v>
      </c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9">
        <f t="shared" si="7"/>
        <v>0</v>
      </c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6">
        <f t="shared" si="8"/>
        <v>0</v>
      </c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6">
        <f t="shared" si="9"/>
        <v>0</v>
      </c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6">
        <f t="shared" si="10"/>
        <v>0</v>
      </c>
      <c r="CC30" s="26">
        <f>192/12</f>
        <v>16</v>
      </c>
      <c r="CD30" s="26">
        <f t="shared" ref="CD30:CH30" si="68">192/12</f>
        <v>16</v>
      </c>
      <c r="CE30" s="26">
        <f t="shared" si="68"/>
        <v>16</v>
      </c>
      <c r="CF30" s="26">
        <f t="shared" si="68"/>
        <v>16</v>
      </c>
      <c r="CG30" s="26">
        <f t="shared" si="68"/>
        <v>16</v>
      </c>
      <c r="CH30" s="26">
        <f t="shared" si="68"/>
        <v>16</v>
      </c>
      <c r="CI30" s="26"/>
      <c r="CJ30" s="26"/>
      <c r="CK30" s="26"/>
      <c r="CL30" s="26"/>
      <c r="CM30" s="26"/>
      <c r="CN30" s="26"/>
      <c r="CO30" s="9">
        <f t="shared" si="11"/>
        <v>96</v>
      </c>
      <c r="CP30" s="6">
        <f t="shared" si="12"/>
        <v>420</v>
      </c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6">
        <f t="shared" si="13"/>
        <v>0</v>
      </c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">
        <f t="shared" si="14"/>
        <v>0</v>
      </c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">
        <f t="shared" si="15"/>
        <v>0</v>
      </c>
      <c r="ED30" s="26">
        <f t="shared" ref="ED30:EI30" si="69">840/12</f>
        <v>70</v>
      </c>
      <c r="EE30" s="26">
        <f t="shared" si="69"/>
        <v>70</v>
      </c>
      <c r="EF30" s="26">
        <f t="shared" si="69"/>
        <v>70</v>
      </c>
      <c r="EG30" s="26">
        <f t="shared" si="69"/>
        <v>70</v>
      </c>
      <c r="EH30" s="26">
        <f t="shared" si="69"/>
        <v>70</v>
      </c>
      <c r="EI30" s="26">
        <f t="shared" si="69"/>
        <v>70</v>
      </c>
      <c r="EJ30" s="26"/>
      <c r="EK30" s="26"/>
      <c r="EL30" s="26"/>
      <c r="EM30" s="26"/>
      <c r="EN30" s="26"/>
      <c r="EO30" s="26"/>
      <c r="EP30" s="10">
        <f t="shared" si="17"/>
        <v>420</v>
      </c>
    </row>
    <row r="31" spans="1:146" ht="16" x14ac:dyDescent="0.2">
      <c r="A31" s="120" t="e" cm="1">
        <f t="array" ref="A31">_xlfn.XLOOKUP(B31&amp;C31,#REF! &amp;#REF!,#REF!)</f>
        <v>#REF!</v>
      </c>
      <c r="B31" s="18" t="s">
        <v>139</v>
      </c>
      <c r="C31" s="118" t="s">
        <v>140</v>
      </c>
      <c r="D31" s="23" t="s">
        <v>141</v>
      </c>
      <c r="E31" s="23"/>
      <c r="F31" s="111" t="s">
        <v>142</v>
      </c>
      <c r="G31" s="26">
        <v>1</v>
      </c>
      <c r="H31" s="26">
        <v>0.6</v>
      </c>
      <c r="I31" s="3">
        <f t="shared" si="0"/>
        <v>0.4</v>
      </c>
      <c r="J31" s="3">
        <f t="shared" si="1"/>
        <v>0.47430555555555554</v>
      </c>
      <c r="K31" s="3">
        <f t="shared" si="2"/>
        <v>0.13333333333333333</v>
      </c>
      <c r="L31" s="4">
        <v>1440</v>
      </c>
      <c r="M31" s="4">
        <f t="shared" si="3"/>
        <v>864</v>
      </c>
      <c r="N31" s="5">
        <f t="shared" si="4"/>
        <v>875</v>
      </c>
      <c r="O31" s="9">
        <f t="shared" si="5"/>
        <v>683</v>
      </c>
      <c r="P31" s="25">
        <v>35.833333333333336</v>
      </c>
      <c r="Q31" s="25">
        <v>35.833333333333336</v>
      </c>
      <c r="R31" s="25">
        <v>35.833333333333336</v>
      </c>
      <c r="S31" s="25">
        <v>35.833333333333336</v>
      </c>
      <c r="T31" s="25">
        <v>35.833333333333336</v>
      </c>
      <c r="U31" s="25">
        <v>35.833333333333336</v>
      </c>
      <c r="V31" s="25">
        <f>+((0.35*1440)-288)/12</f>
        <v>17.999999999999996</v>
      </c>
      <c r="W31" s="25">
        <f t="shared" ref="W31:AA31" si="70">+((0.35*1440)-288)/12</f>
        <v>17.999999999999996</v>
      </c>
      <c r="X31" s="25">
        <f t="shared" si="70"/>
        <v>17.999999999999996</v>
      </c>
      <c r="Y31" s="25">
        <f t="shared" si="70"/>
        <v>17.999999999999996</v>
      </c>
      <c r="Z31" s="25">
        <f t="shared" si="70"/>
        <v>17.999999999999996</v>
      </c>
      <c r="AA31" s="25">
        <f t="shared" si="70"/>
        <v>17.999999999999996</v>
      </c>
      <c r="AB31" s="9">
        <f t="shared" si="6"/>
        <v>323</v>
      </c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9">
        <f t="shared" si="7"/>
        <v>0</v>
      </c>
      <c r="AP31" s="26">
        <f t="shared" ref="AP31:BA31" si="71">0.25*1440/12</f>
        <v>30</v>
      </c>
      <c r="AQ31" s="26">
        <f t="shared" si="71"/>
        <v>30</v>
      </c>
      <c r="AR31" s="26">
        <f t="shared" si="71"/>
        <v>30</v>
      </c>
      <c r="AS31" s="26">
        <f t="shared" si="71"/>
        <v>30</v>
      </c>
      <c r="AT31" s="26">
        <f t="shared" si="71"/>
        <v>30</v>
      </c>
      <c r="AU31" s="26">
        <f t="shared" si="71"/>
        <v>30</v>
      </c>
      <c r="AV31" s="26">
        <f t="shared" si="71"/>
        <v>30</v>
      </c>
      <c r="AW31" s="26">
        <f t="shared" si="71"/>
        <v>30</v>
      </c>
      <c r="AX31" s="26">
        <f t="shared" si="71"/>
        <v>30</v>
      </c>
      <c r="AY31" s="26">
        <f t="shared" si="71"/>
        <v>30</v>
      </c>
      <c r="AZ31" s="26">
        <f t="shared" si="71"/>
        <v>30</v>
      </c>
      <c r="BA31" s="26">
        <f t="shared" si="71"/>
        <v>30</v>
      </c>
      <c r="BB31" s="6">
        <f t="shared" si="8"/>
        <v>360</v>
      </c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6">
        <f t="shared" si="9"/>
        <v>0</v>
      </c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6">
        <f t="shared" si="10"/>
        <v>0</v>
      </c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9">
        <f t="shared" si="11"/>
        <v>0</v>
      </c>
      <c r="CP31" s="6">
        <f t="shared" si="12"/>
        <v>192</v>
      </c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6">
        <f t="shared" si="13"/>
        <v>0</v>
      </c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">
        <f t="shared" si="14"/>
        <v>0</v>
      </c>
      <c r="DQ31" s="26">
        <v>8</v>
      </c>
      <c r="DR31" s="26">
        <v>8</v>
      </c>
      <c r="DS31" s="26">
        <v>8</v>
      </c>
      <c r="DT31" s="26">
        <v>8</v>
      </c>
      <c r="DU31" s="26">
        <v>8</v>
      </c>
      <c r="DV31" s="26">
        <v>8</v>
      </c>
      <c r="DW31" s="26">
        <f t="shared" ref="DW31:EB31" si="72">+(0.2*1440)/12</f>
        <v>24</v>
      </c>
      <c r="DX31" s="26">
        <f t="shared" si="72"/>
        <v>24</v>
      </c>
      <c r="DY31" s="26">
        <f t="shared" si="72"/>
        <v>24</v>
      </c>
      <c r="DZ31" s="26">
        <f t="shared" si="72"/>
        <v>24</v>
      </c>
      <c r="EA31" s="26">
        <f t="shared" si="72"/>
        <v>24</v>
      </c>
      <c r="EB31" s="26">
        <f t="shared" si="72"/>
        <v>24</v>
      </c>
      <c r="EC31" s="2">
        <f t="shared" si="15"/>
        <v>192</v>
      </c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10">
        <f t="shared" si="17"/>
        <v>0</v>
      </c>
    </row>
    <row r="32" spans="1:146" ht="16" x14ac:dyDescent="0.2">
      <c r="A32" s="120" t="e" cm="1">
        <f t="array" ref="A32">_xlfn.XLOOKUP(B32&amp;C32,#REF! &amp;#REF!,#REF!)</f>
        <v>#REF!</v>
      </c>
      <c r="B32" s="18" t="s">
        <v>143</v>
      </c>
      <c r="C32" s="117" t="s">
        <v>144</v>
      </c>
      <c r="D32" s="23" t="s">
        <v>145</v>
      </c>
      <c r="E32" s="23"/>
      <c r="F32" s="21" t="s">
        <v>146</v>
      </c>
      <c r="G32" s="26">
        <v>1</v>
      </c>
      <c r="H32" s="26">
        <v>1</v>
      </c>
      <c r="I32" s="3">
        <f t="shared" si="0"/>
        <v>0</v>
      </c>
      <c r="J32" s="3">
        <f t="shared" si="1"/>
        <v>0.9</v>
      </c>
      <c r="K32" s="3">
        <f t="shared" si="2"/>
        <v>0.1</v>
      </c>
      <c r="L32" s="4">
        <v>1440</v>
      </c>
      <c r="M32" s="4">
        <f t="shared" si="3"/>
        <v>1440</v>
      </c>
      <c r="N32" s="5">
        <f t="shared" si="4"/>
        <v>1440</v>
      </c>
      <c r="O32" s="9">
        <f t="shared" si="5"/>
        <v>1296</v>
      </c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9">
        <f t="shared" si="6"/>
        <v>0</v>
      </c>
      <c r="AC32" s="26">
        <f t="shared" ref="AC32:AN32" si="73">0.9*1440/12</f>
        <v>108</v>
      </c>
      <c r="AD32" s="26">
        <f t="shared" si="73"/>
        <v>108</v>
      </c>
      <c r="AE32" s="26">
        <f t="shared" si="73"/>
        <v>108</v>
      </c>
      <c r="AF32" s="26">
        <f t="shared" si="73"/>
        <v>108</v>
      </c>
      <c r="AG32" s="26">
        <f t="shared" si="73"/>
        <v>108</v>
      </c>
      <c r="AH32" s="26">
        <f t="shared" si="73"/>
        <v>108</v>
      </c>
      <c r="AI32" s="26">
        <f t="shared" si="73"/>
        <v>108</v>
      </c>
      <c r="AJ32" s="26">
        <f t="shared" si="73"/>
        <v>108</v>
      </c>
      <c r="AK32" s="26">
        <f t="shared" si="73"/>
        <v>108</v>
      </c>
      <c r="AL32" s="26">
        <f t="shared" si="73"/>
        <v>108</v>
      </c>
      <c r="AM32" s="26">
        <f t="shared" si="73"/>
        <v>108</v>
      </c>
      <c r="AN32" s="26">
        <f t="shared" si="73"/>
        <v>108</v>
      </c>
      <c r="AO32" s="9">
        <f t="shared" si="7"/>
        <v>1296</v>
      </c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6">
        <f t="shared" si="8"/>
        <v>0</v>
      </c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6">
        <f t="shared" si="9"/>
        <v>0</v>
      </c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6">
        <f t="shared" si="10"/>
        <v>0</v>
      </c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9">
        <f t="shared" si="11"/>
        <v>0</v>
      </c>
      <c r="CP32" s="6">
        <f t="shared" si="12"/>
        <v>144</v>
      </c>
      <c r="CQ32" s="26">
        <f t="shared" ref="CQ32:DB32" si="74">0.1*1440/12</f>
        <v>12</v>
      </c>
      <c r="CR32" s="26">
        <f t="shared" si="74"/>
        <v>12</v>
      </c>
      <c r="CS32" s="26">
        <f t="shared" si="74"/>
        <v>12</v>
      </c>
      <c r="CT32" s="26">
        <f t="shared" si="74"/>
        <v>12</v>
      </c>
      <c r="CU32" s="26">
        <f t="shared" si="74"/>
        <v>12</v>
      </c>
      <c r="CV32" s="26">
        <f t="shared" si="74"/>
        <v>12</v>
      </c>
      <c r="CW32" s="26">
        <f t="shared" si="74"/>
        <v>12</v>
      </c>
      <c r="CX32" s="26">
        <f t="shared" si="74"/>
        <v>12</v>
      </c>
      <c r="CY32" s="26">
        <f t="shared" si="74"/>
        <v>12</v>
      </c>
      <c r="CZ32" s="26">
        <f t="shared" si="74"/>
        <v>12</v>
      </c>
      <c r="DA32" s="26">
        <f t="shared" si="74"/>
        <v>12</v>
      </c>
      <c r="DB32" s="26">
        <f t="shared" si="74"/>
        <v>12</v>
      </c>
      <c r="DC32" s="6">
        <f t="shared" si="13"/>
        <v>144</v>
      </c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">
        <f t="shared" si="14"/>
        <v>0</v>
      </c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">
        <f t="shared" si="15"/>
        <v>0</v>
      </c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10">
        <f t="shared" si="17"/>
        <v>0</v>
      </c>
    </row>
    <row r="33" spans="1:146" ht="16" x14ac:dyDescent="0.2">
      <c r="A33" s="120" t="e" cm="1">
        <f t="array" ref="A33">_xlfn.XLOOKUP(B33&amp;C33,#REF! &amp;#REF!,#REF!)</f>
        <v>#REF!</v>
      </c>
      <c r="B33" s="18" t="s">
        <v>147</v>
      </c>
      <c r="C33" s="118" t="s">
        <v>148</v>
      </c>
      <c r="D33" s="23"/>
      <c r="E33" s="23" t="s">
        <v>43</v>
      </c>
      <c r="F33" s="21" t="s">
        <v>149</v>
      </c>
      <c r="G33" s="26">
        <v>1</v>
      </c>
      <c r="H33" s="26">
        <v>0.1</v>
      </c>
      <c r="I33" s="3">
        <f t="shared" si="0"/>
        <v>0.9</v>
      </c>
      <c r="J33" s="3">
        <f t="shared" si="1"/>
        <v>9.3333333333333338E-2</v>
      </c>
      <c r="K33" s="3">
        <f t="shared" si="2"/>
        <v>6.666666666666668E-3</v>
      </c>
      <c r="L33" s="4">
        <v>1440</v>
      </c>
      <c r="M33" s="4">
        <f t="shared" si="3"/>
        <v>144</v>
      </c>
      <c r="N33" s="5">
        <f t="shared" si="4"/>
        <v>144</v>
      </c>
      <c r="O33" s="9">
        <f t="shared" si="5"/>
        <v>134.4</v>
      </c>
      <c r="P33" s="25">
        <f t="shared" ref="P33:AA33" si="75">((0.1*1440)-(96*0.1))/12</f>
        <v>11.200000000000001</v>
      </c>
      <c r="Q33" s="25">
        <f t="shared" si="75"/>
        <v>11.200000000000001</v>
      </c>
      <c r="R33" s="25">
        <f t="shared" si="75"/>
        <v>11.200000000000001</v>
      </c>
      <c r="S33" s="25">
        <f t="shared" si="75"/>
        <v>11.200000000000001</v>
      </c>
      <c r="T33" s="25">
        <f t="shared" si="75"/>
        <v>11.200000000000001</v>
      </c>
      <c r="U33" s="25">
        <f t="shared" si="75"/>
        <v>11.200000000000001</v>
      </c>
      <c r="V33" s="25">
        <f t="shared" si="75"/>
        <v>11.200000000000001</v>
      </c>
      <c r="W33" s="25">
        <f t="shared" si="75"/>
        <v>11.200000000000001</v>
      </c>
      <c r="X33" s="25">
        <f t="shared" si="75"/>
        <v>11.200000000000001</v>
      </c>
      <c r="Y33" s="25">
        <f t="shared" si="75"/>
        <v>11.200000000000001</v>
      </c>
      <c r="Z33" s="25">
        <f t="shared" si="75"/>
        <v>11.200000000000001</v>
      </c>
      <c r="AA33" s="25">
        <f t="shared" si="75"/>
        <v>11.200000000000001</v>
      </c>
      <c r="AB33" s="9">
        <f t="shared" si="6"/>
        <v>134.4</v>
      </c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9">
        <f t="shared" si="7"/>
        <v>0</v>
      </c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6">
        <f t="shared" si="8"/>
        <v>0</v>
      </c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6">
        <f t="shared" si="9"/>
        <v>0</v>
      </c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6">
        <f t="shared" si="10"/>
        <v>0</v>
      </c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9">
        <f t="shared" si="11"/>
        <v>0</v>
      </c>
      <c r="CP33" s="6">
        <f t="shared" si="12"/>
        <v>9.6000000000000014</v>
      </c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6">
        <f t="shared" si="13"/>
        <v>0</v>
      </c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">
        <f t="shared" si="14"/>
        <v>0</v>
      </c>
      <c r="DQ33" s="26">
        <f t="shared" ref="DQ33:EB33" si="76">96*0.1/12</f>
        <v>0.80000000000000016</v>
      </c>
      <c r="DR33" s="26">
        <f t="shared" si="76"/>
        <v>0.80000000000000016</v>
      </c>
      <c r="DS33" s="26">
        <f t="shared" si="76"/>
        <v>0.80000000000000016</v>
      </c>
      <c r="DT33" s="26">
        <f t="shared" si="76"/>
        <v>0.80000000000000016</v>
      </c>
      <c r="DU33" s="26">
        <f t="shared" si="76"/>
        <v>0.80000000000000016</v>
      </c>
      <c r="DV33" s="26">
        <f t="shared" si="76"/>
        <v>0.80000000000000016</v>
      </c>
      <c r="DW33" s="26">
        <f t="shared" si="76"/>
        <v>0.80000000000000016</v>
      </c>
      <c r="DX33" s="26">
        <f t="shared" si="76"/>
        <v>0.80000000000000016</v>
      </c>
      <c r="DY33" s="26">
        <f t="shared" si="76"/>
        <v>0.80000000000000016</v>
      </c>
      <c r="DZ33" s="26">
        <f t="shared" si="76"/>
        <v>0.80000000000000016</v>
      </c>
      <c r="EA33" s="26">
        <f t="shared" si="76"/>
        <v>0.80000000000000016</v>
      </c>
      <c r="EB33" s="26">
        <f t="shared" si="76"/>
        <v>0.80000000000000016</v>
      </c>
      <c r="EC33" s="2">
        <f t="shared" si="15"/>
        <v>9.6000000000000014</v>
      </c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10">
        <f t="shared" si="17"/>
        <v>0</v>
      </c>
    </row>
    <row r="34" spans="1:146" ht="16" x14ac:dyDescent="0.2">
      <c r="A34" s="120" t="e" cm="1">
        <f t="array" ref="A34">_xlfn.XLOOKUP(B34&amp;C34,#REF! &amp;#REF!,#REF!)</f>
        <v>#REF!</v>
      </c>
      <c r="B34" s="18" t="s">
        <v>150</v>
      </c>
      <c r="C34" s="118" t="s">
        <v>151</v>
      </c>
      <c r="D34" s="23" t="s">
        <v>42</v>
      </c>
      <c r="E34" s="23" t="s">
        <v>43</v>
      </c>
      <c r="F34" s="31" t="s">
        <v>152</v>
      </c>
      <c r="G34" s="26">
        <v>1</v>
      </c>
      <c r="H34" s="26">
        <v>1</v>
      </c>
      <c r="I34" s="3">
        <f t="shared" ref="I34:I66" si="77">+G34-H34</f>
        <v>0</v>
      </c>
      <c r="J34" s="3">
        <f t="shared" ref="J34:J70" si="78">+O34/M34*H34</f>
        <v>0.43472222222222223</v>
      </c>
      <c r="K34" s="3">
        <f t="shared" ref="K34:K70" si="79">+CP34/M34*H34</f>
        <v>5.9027777777777776E-3</v>
      </c>
      <c r="L34" s="4">
        <v>1440</v>
      </c>
      <c r="M34" s="4">
        <f t="shared" ref="M34:M66" si="80">+H34*L34</f>
        <v>1440</v>
      </c>
      <c r="N34" s="5">
        <f t="shared" ref="N34:N66" si="81">+O34+CP34</f>
        <v>634.5</v>
      </c>
      <c r="O34" s="9">
        <f t="shared" ref="O34:O70" si="82">+AB34+AO34+BB34+BO34+CB34+CO34</f>
        <v>626</v>
      </c>
      <c r="P34" s="25">
        <f>756/12</f>
        <v>63</v>
      </c>
      <c r="Q34" s="25">
        <f>756/12</f>
        <v>63</v>
      </c>
      <c r="R34" s="25">
        <f t="shared" ref="R34:AA34" si="83">600/12</f>
        <v>50</v>
      </c>
      <c r="S34" s="25">
        <f t="shared" si="83"/>
        <v>50</v>
      </c>
      <c r="T34" s="25">
        <f t="shared" si="83"/>
        <v>50</v>
      </c>
      <c r="U34" s="25">
        <f t="shared" si="83"/>
        <v>50</v>
      </c>
      <c r="V34" s="25">
        <f t="shared" si="83"/>
        <v>50</v>
      </c>
      <c r="W34" s="25">
        <f t="shared" si="83"/>
        <v>50</v>
      </c>
      <c r="X34" s="25">
        <f t="shared" si="83"/>
        <v>50</v>
      </c>
      <c r="Y34" s="25">
        <f t="shared" si="83"/>
        <v>50</v>
      </c>
      <c r="Z34" s="25">
        <f t="shared" si="83"/>
        <v>50</v>
      </c>
      <c r="AA34" s="25">
        <f t="shared" si="83"/>
        <v>50</v>
      </c>
      <c r="AB34" s="9">
        <f t="shared" ref="AB34:AB66" si="84">SUM(P34:AA34)</f>
        <v>626</v>
      </c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9">
        <f t="shared" ref="AO34:AO66" si="85">SUM(AC34:AN34)</f>
        <v>0</v>
      </c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6">
        <f t="shared" ref="BB34:BB66" si="86">SUM(AP34:BA34)</f>
        <v>0</v>
      </c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6">
        <f t="shared" ref="BO34:BO66" si="87">SUM(BC34:BN34)</f>
        <v>0</v>
      </c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6">
        <f t="shared" ref="CB34:CB66" si="88">SUM(BP34:CA34)</f>
        <v>0</v>
      </c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9">
        <f t="shared" si="11"/>
        <v>0</v>
      </c>
      <c r="CP34" s="6">
        <f t="shared" ref="CP34:CP70" si="89">+DC34+DP34+EC34+EP34</f>
        <v>8.5</v>
      </c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6">
        <f t="shared" si="13"/>
        <v>0</v>
      </c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">
        <f t="shared" ref="DP34:DP66" si="90">SUM(DD34:DO34)</f>
        <v>0</v>
      </c>
      <c r="DQ34" s="26">
        <f>51/12</f>
        <v>4.25</v>
      </c>
      <c r="DR34" s="26">
        <f>51/12</f>
        <v>4.25</v>
      </c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">
        <f t="shared" ref="EC34:EC66" si="91">SUM(DQ34:EB34)</f>
        <v>8.5</v>
      </c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10">
        <f t="shared" ref="EP34:EP66" si="92">SUM(ED34:EO34)</f>
        <v>0</v>
      </c>
    </row>
    <row r="35" spans="1:146" ht="16" x14ac:dyDescent="0.2">
      <c r="A35" s="120" t="e" cm="1">
        <f t="array" ref="A35">_xlfn.XLOOKUP(B35&amp;C35,#REF! &amp;#REF!,#REF!)</f>
        <v>#REF!</v>
      </c>
      <c r="B35" s="18" t="s">
        <v>153</v>
      </c>
      <c r="C35" s="117" t="s">
        <v>154</v>
      </c>
      <c r="D35" s="23"/>
      <c r="E35" s="23"/>
      <c r="F35" s="30" t="s">
        <v>155</v>
      </c>
      <c r="G35" s="26">
        <v>1</v>
      </c>
      <c r="H35" s="26">
        <v>0.2</v>
      </c>
      <c r="I35" s="3">
        <f t="shared" si="77"/>
        <v>0.8</v>
      </c>
      <c r="J35" s="3">
        <f t="shared" si="78"/>
        <v>0.2</v>
      </c>
      <c r="K35" s="3">
        <f t="shared" si="79"/>
        <v>0</v>
      </c>
      <c r="L35" s="4">
        <v>1440</v>
      </c>
      <c r="M35" s="4">
        <f t="shared" si="80"/>
        <v>288</v>
      </c>
      <c r="N35" s="5">
        <f t="shared" si="81"/>
        <v>288</v>
      </c>
      <c r="O35" s="9">
        <f t="shared" si="82"/>
        <v>288</v>
      </c>
      <c r="P35" s="25">
        <f t="shared" ref="P35:AA35" si="93">0.2*1440/12</f>
        <v>24</v>
      </c>
      <c r="Q35" s="25">
        <f t="shared" si="93"/>
        <v>24</v>
      </c>
      <c r="R35" s="25">
        <f t="shared" si="93"/>
        <v>24</v>
      </c>
      <c r="S35" s="25">
        <f t="shared" si="93"/>
        <v>24</v>
      </c>
      <c r="T35" s="25">
        <f t="shared" si="93"/>
        <v>24</v>
      </c>
      <c r="U35" s="25">
        <f t="shared" si="93"/>
        <v>24</v>
      </c>
      <c r="V35" s="25">
        <f t="shared" si="93"/>
        <v>24</v>
      </c>
      <c r="W35" s="25">
        <f t="shared" si="93"/>
        <v>24</v>
      </c>
      <c r="X35" s="25">
        <f t="shared" si="93"/>
        <v>24</v>
      </c>
      <c r="Y35" s="25">
        <f t="shared" si="93"/>
        <v>24</v>
      </c>
      <c r="Z35" s="25">
        <f t="shared" si="93"/>
        <v>24</v>
      </c>
      <c r="AA35" s="25">
        <f t="shared" si="93"/>
        <v>24</v>
      </c>
      <c r="AB35" s="9">
        <f t="shared" si="84"/>
        <v>288</v>
      </c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9">
        <f t="shared" si="85"/>
        <v>0</v>
      </c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6">
        <f t="shared" si="86"/>
        <v>0</v>
      </c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6">
        <f t="shared" si="87"/>
        <v>0</v>
      </c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6">
        <f t="shared" si="88"/>
        <v>0</v>
      </c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9">
        <f t="shared" si="11"/>
        <v>0</v>
      </c>
      <c r="CP35" s="6">
        <f t="shared" si="89"/>
        <v>0</v>
      </c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6">
        <f t="shared" si="13"/>
        <v>0</v>
      </c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">
        <f t="shared" si="90"/>
        <v>0</v>
      </c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">
        <f t="shared" si="91"/>
        <v>0</v>
      </c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10">
        <f t="shared" si="92"/>
        <v>0</v>
      </c>
    </row>
    <row r="36" spans="1:146" ht="16" x14ac:dyDescent="0.2">
      <c r="A36" s="120" t="e" cm="1">
        <f t="array" ref="A36">_xlfn.XLOOKUP(B36&amp;C36,#REF! &amp;#REF!,#REF!)</f>
        <v>#REF!</v>
      </c>
      <c r="B36" s="18" t="s">
        <v>156</v>
      </c>
      <c r="C36" s="117" t="s">
        <v>157</v>
      </c>
      <c r="D36" s="23"/>
      <c r="E36" s="23"/>
      <c r="F36" s="21" t="s">
        <v>158</v>
      </c>
      <c r="G36" s="26">
        <v>1</v>
      </c>
      <c r="H36" s="26">
        <v>0.5</v>
      </c>
      <c r="I36" s="3">
        <f t="shared" si="77"/>
        <v>0.5</v>
      </c>
      <c r="J36" s="3">
        <f t="shared" si="78"/>
        <v>0.5</v>
      </c>
      <c r="K36" s="3">
        <f t="shared" si="79"/>
        <v>0</v>
      </c>
      <c r="L36" s="4">
        <v>1440</v>
      </c>
      <c r="M36" s="4">
        <f t="shared" si="80"/>
        <v>720</v>
      </c>
      <c r="N36" s="5">
        <f t="shared" si="81"/>
        <v>720</v>
      </c>
      <c r="O36" s="9">
        <f t="shared" si="82"/>
        <v>720</v>
      </c>
      <c r="P36" s="25">
        <f t="shared" ref="P36:AA36" si="94">0.5*1440/12</f>
        <v>60</v>
      </c>
      <c r="Q36" s="25">
        <f t="shared" si="94"/>
        <v>60</v>
      </c>
      <c r="R36" s="25">
        <f t="shared" si="94"/>
        <v>60</v>
      </c>
      <c r="S36" s="25">
        <f t="shared" si="94"/>
        <v>60</v>
      </c>
      <c r="T36" s="25">
        <f t="shared" si="94"/>
        <v>60</v>
      </c>
      <c r="U36" s="25">
        <f t="shared" si="94"/>
        <v>60</v>
      </c>
      <c r="V36" s="25">
        <f t="shared" si="94"/>
        <v>60</v>
      </c>
      <c r="W36" s="25">
        <f t="shared" si="94"/>
        <v>60</v>
      </c>
      <c r="X36" s="25">
        <f t="shared" si="94"/>
        <v>60</v>
      </c>
      <c r="Y36" s="25">
        <f t="shared" si="94"/>
        <v>60</v>
      </c>
      <c r="Z36" s="25">
        <f t="shared" si="94"/>
        <v>60</v>
      </c>
      <c r="AA36" s="25">
        <f t="shared" si="94"/>
        <v>60</v>
      </c>
      <c r="AB36" s="9">
        <f t="shared" si="84"/>
        <v>720</v>
      </c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9">
        <f t="shared" si="85"/>
        <v>0</v>
      </c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6">
        <f t="shared" si="86"/>
        <v>0</v>
      </c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6">
        <f t="shared" si="87"/>
        <v>0</v>
      </c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6">
        <f t="shared" si="88"/>
        <v>0</v>
      </c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9">
        <f t="shared" si="11"/>
        <v>0</v>
      </c>
      <c r="CP36" s="6">
        <f t="shared" si="89"/>
        <v>0</v>
      </c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6">
        <f t="shared" si="13"/>
        <v>0</v>
      </c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">
        <f t="shared" si="90"/>
        <v>0</v>
      </c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">
        <f t="shared" si="91"/>
        <v>0</v>
      </c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10">
        <f t="shared" si="92"/>
        <v>0</v>
      </c>
    </row>
    <row r="37" spans="1:146" ht="16" x14ac:dyDescent="0.2">
      <c r="A37" s="120" t="e" cm="1">
        <f t="array" ref="A37">_xlfn.XLOOKUP(B37&amp;C37,#REF! &amp;#REF!,#REF!)</f>
        <v>#REF!</v>
      </c>
      <c r="B37" s="18" t="s">
        <v>159</v>
      </c>
      <c r="C37" s="117" t="s">
        <v>160</v>
      </c>
      <c r="D37" s="23" t="s">
        <v>161</v>
      </c>
      <c r="E37" s="23" t="s">
        <v>119</v>
      </c>
      <c r="F37" s="21" t="s">
        <v>94</v>
      </c>
      <c r="G37" s="26">
        <v>1</v>
      </c>
      <c r="H37" s="26">
        <v>1</v>
      </c>
      <c r="I37" s="3">
        <f t="shared" si="77"/>
        <v>0</v>
      </c>
      <c r="J37" s="3">
        <f t="shared" si="78"/>
        <v>0.375</v>
      </c>
      <c r="K37" s="3">
        <f t="shared" si="79"/>
        <v>0.625</v>
      </c>
      <c r="L37" s="4">
        <v>1440</v>
      </c>
      <c r="M37" s="4">
        <f t="shared" si="80"/>
        <v>1440</v>
      </c>
      <c r="N37" s="5">
        <f t="shared" si="81"/>
        <v>1440</v>
      </c>
      <c r="O37" s="9">
        <f t="shared" si="82"/>
        <v>540</v>
      </c>
      <c r="P37" s="25">
        <f>300/12</f>
        <v>25</v>
      </c>
      <c r="Q37" s="25">
        <f t="shared" ref="Q37:AA37" si="95">300/12</f>
        <v>25</v>
      </c>
      <c r="R37" s="25">
        <f t="shared" si="95"/>
        <v>25</v>
      </c>
      <c r="S37" s="25">
        <f t="shared" si="95"/>
        <v>25</v>
      </c>
      <c r="T37" s="25">
        <f t="shared" si="95"/>
        <v>25</v>
      </c>
      <c r="U37" s="25">
        <f t="shared" si="95"/>
        <v>25</v>
      </c>
      <c r="V37" s="25">
        <f t="shared" si="95"/>
        <v>25</v>
      </c>
      <c r="W37" s="25">
        <f t="shared" si="95"/>
        <v>25</v>
      </c>
      <c r="X37" s="25">
        <f t="shared" si="95"/>
        <v>25</v>
      </c>
      <c r="Y37" s="25">
        <f t="shared" si="95"/>
        <v>25</v>
      </c>
      <c r="Z37" s="25">
        <f t="shared" si="95"/>
        <v>25</v>
      </c>
      <c r="AA37" s="25">
        <f t="shared" si="95"/>
        <v>25</v>
      </c>
      <c r="AB37" s="9">
        <f t="shared" si="84"/>
        <v>300</v>
      </c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9">
        <f t="shared" si="85"/>
        <v>0</v>
      </c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6">
        <f t="shared" si="86"/>
        <v>0</v>
      </c>
      <c r="BC37" s="26">
        <f t="shared" ref="BC37:BN37" si="96">0.1*1440/12</f>
        <v>12</v>
      </c>
      <c r="BD37" s="26">
        <f t="shared" si="96"/>
        <v>12</v>
      </c>
      <c r="BE37" s="26">
        <f t="shared" si="96"/>
        <v>12</v>
      </c>
      <c r="BF37" s="26">
        <f t="shared" si="96"/>
        <v>12</v>
      </c>
      <c r="BG37" s="26">
        <f t="shared" si="96"/>
        <v>12</v>
      </c>
      <c r="BH37" s="26">
        <f t="shared" si="96"/>
        <v>12</v>
      </c>
      <c r="BI37" s="26">
        <f t="shared" si="96"/>
        <v>12</v>
      </c>
      <c r="BJ37" s="26">
        <f t="shared" si="96"/>
        <v>12</v>
      </c>
      <c r="BK37" s="26">
        <f t="shared" si="96"/>
        <v>12</v>
      </c>
      <c r="BL37" s="26">
        <f t="shared" si="96"/>
        <v>12</v>
      </c>
      <c r="BM37" s="26">
        <f t="shared" si="96"/>
        <v>12</v>
      </c>
      <c r="BN37" s="26">
        <f t="shared" si="96"/>
        <v>12</v>
      </c>
      <c r="BO37" s="6">
        <f t="shared" si="87"/>
        <v>144</v>
      </c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6">
        <f t="shared" si="88"/>
        <v>0</v>
      </c>
      <c r="CC37" s="26">
        <f>96/12</f>
        <v>8</v>
      </c>
      <c r="CD37" s="26">
        <f t="shared" ref="CD37:CN37" si="97">96/12</f>
        <v>8</v>
      </c>
      <c r="CE37" s="26">
        <f t="shared" si="97"/>
        <v>8</v>
      </c>
      <c r="CF37" s="26">
        <f t="shared" si="97"/>
        <v>8</v>
      </c>
      <c r="CG37" s="26">
        <f t="shared" si="97"/>
        <v>8</v>
      </c>
      <c r="CH37" s="26">
        <f t="shared" si="97"/>
        <v>8</v>
      </c>
      <c r="CI37" s="26">
        <f t="shared" si="97"/>
        <v>8</v>
      </c>
      <c r="CJ37" s="26">
        <f t="shared" si="97"/>
        <v>8</v>
      </c>
      <c r="CK37" s="26">
        <f t="shared" si="97"/>
        <v>8</v>
      </c>
      <c r="CL37" s="26">
        <f t="shared" si="97"/>
        <v>8</v>
      </c>
      <c r="CM37" s="26">
        <f t="shared" si="97"/>
        <v>8</v>
      </c>
      <c r="CN37" s="26">
        <f t="shared" si="97"/>
        <v>8</v>
      </c>
      <c r="CO37" s="9">
        <f t="shared" si="11"/>
        <v>96</v>
      </c>
      <c r="CP37" s="6">
        <f t="shared" si="89"/>
        <v>900</v>
      </c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6">
        <f t="shared" si="13"/>
        <v>0</v>
      </c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">
        <f t="shared" si="90"/>
        <v>0</v>
      </c>
      <c r="DQ37" s="26">
        <f t="shared" ref="DQ37:EB37" si="98">0.625*1440/12</f>
        <v>75</v>
      </c>
      <c r="DR37" s="26">
        <f t="shared" si="98"/>
        <v>75</v>
      </c>
      <c r="DS37" s="26">
        <f t="shared" si="98"/>
        <v>75</v>
      </c>
      <c r="DT37" s="26">
        <f t="shared" si="98"/>
        <v>75</v>
      </c>
      <c r="DU37" s="26">
        <f t="shared" si="98"/>
        <v>75</v>
      </c>
      <c r="DV37" s="26">
        <f t="shared" si="98"/>
        <v>75</v>
      </c>
      <c r="DW37" s="26">
        <f t="shared" si="98"/>
        <v>75</v>
      </c>
      <c r="DX37" s="26">
        <f t="shared" si="98"/>
        <v>75</v>
      </c>
      <c r="DY37" s="26">
        <f t="shared" si="98"/>
        <v>75</v>
      </c>
      <c r="DZ37" s="26">
        <f t="shared" si="98"/>
        <v>75</v>
      </c>
      <c r="EA37" s="26">
        <f t="shared" si="98"/>
        <v>75</v>
      </c>
      <c r="EB37" s="26">
        <f t="shared" si="98"/>
        <v>75</v>
      </c>
      <c r="EC37" s="2">
        <f t="shared" si="91"/>
        <v>900</v>
      </c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10">
        <f t="shared" si="92"/>
        <v>0</v>
      </c>
    </row>
    <row r="38" spans="1:146" ht="16" x14ac:dyDescent="0.2">
      <c r="A38" s="120" t="e" cm="1">
        <f t="array" ref="A38">_xlfn.XLOOKUP(B38&amp;C38,#REF! &amp;#REF!,#REF!)</f>
        <v>#REF!</v>
      </c>
      <c r="B38" s="18" t="s">
        <v>162</v>
      </c>
      <c r="C38" s="118" t="s">
        <v>163</v>
      </c>
      <c r="D38" s="23" t="s">
        <v>164</v>
      </c>
      <c r="E38" s="23" t="s">
        <v>57</v>
      </c>
      <c r="F38" s="21" t="s">
        <v>165</v>
      </c>
      <c r="G38" s="26">
        <v>1</v>
      </c>
      <c r="H38" s="26">
        <v>1</v>
      </c>
      <c r="I38" s="3">
        <f t="shared" si="77"/>
        <v>0</v>
      </c>
      <c r="J38" s="3">
        <f t="shared" si="78"/>
        <v>0.82916666666666672</v>
      </c>
      <c r="K38" s="3">
        <f t="shared" si="79"/>
        <v>0.17083333333333334</v>
      </c>
      <c r="L38" s="4">
        <v>1440</v>
      </c>
      <c r="M38" s="4">
        <f t="shared" si="80"/>
        <v>1440</v>
      </c>
      <c r="N38" s="5">
        <f t="shared" si="81"/>
        <v>1440</v>
      </c>
      <c r="O38" s="9">
        <f t="shared" si="82"/>
        <v>1194</v>
      </c>
      <c r="P38" s="25">
        <f>(1440-128-246-72)/12</f>
        <v>82.833333333333329</v>
      </c>
      <c r="Q38" s="25">
        <f t="shared" ref="Q38:AA38" si="99">(1440-128-246-72)/12</f>
        <v>82.833333333333329</v>
      </c>
      <c r="R38" s="25">
        <f t="shared" si="99"/>
        <v>82.833333333333329</v>
      </c>
      <c r="S38" s="25">
        <f t="shared" si="99"/>
        <v>82.833333333333329</v>
      </c>
      <c r="T38" s="25">
        <f t="shared" si="99"/>
        <v>82.833333333333329</v>
      </c>
      <c r="U38" s="25">
        <f t="shared" si="99"/>
        <v>82.833333333333329</v>
      </c>
      <c r="V38" s="25">
        <f t="shared" si="99"/>
        <v>82.833333333333329</v>
      </c>
      <c r="W38" s="25">
        <f t="shared" si="99"/>
        <v>82.833333333333329</v>
      </c>
      <c r="X38" s="25">
        <f t="shared" si="99"/>
        <v>82.833333333333329</v>
      </c>
      <c r="Y38" s="25">
        <f t="shared" si="99"/>
        <v>82.833333333333329</v>
      </c>
      <c r="Z38" s="25">
        <f t="shared" si="99"/>
        <v>82.833333333333329</v>
      </c>
      <c r="AA38" s="25">
        <f t="shared" si="99"/>
        <v>82.833333333333329</v>
      </c>
      <c r="AB38" s="9">
        <f t="shared" si="84"/>
        <v>994.00000000000011</v>
      </c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9">
        <f t="shared" si="85"/>
        <v>0</v>
      </c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6">
        <f t="shared" si="86"/>
        <v>0</v>
      </c>
      <c r="BC38" s="26">
        <f>0.05*1440/12</f>
        <v>6</v>
      </c>
      <c r="BD38" s="26">
        <f t="shared" ref="BD38:BN38" si="100">0.05*1440/12</f>
        <v>6</v>
      </c>
      <c r="BE38" s="26">
        <f t="shared" si="100"/>
        <v>6</v>
      </c>
      <c r="BF38" s="26">
        <f t="shared" si="100"/>
        <v>6</v>
      </c>
      <c r="BG38" s="26">
        <f t="shared" si="100"/>
        <v>6</v>
      </c>
      <c r="BH38" s="26">
        <f t="shared" si="100"/>
        <v>6</v>
      </c>
      <c r="BI38" s="26">
        <f t="shared" si="100"/>
        <v>6</v>
      </c>
      <c r="BJ38" s="26">
        <f t="shared" si="100"/>
        <v>6</v>
      </c>
      <c r="BK38" s="26">
        <f t="shared" si="100"/>
        <v>6</v>
      </c>
      <c r="BL38" s="26">
        <f t="shared" si="100"/>
        <v>6</v>
      </c>
      <c r="BM38" s="26">
        <f t="shared" si="100"/>
        <v>6</v>
      </c>
      <c r="BN38" s="26">
        <f t="shared" si="100"/>
        <v>6</v>
      </c>
      <c r="BO38" s="6">
        <f t="shared" si="87"/>
        <v>72</v>
      </c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6">
        <f t="shared" si="88"/>
        <v>0</v>
      </c>
      <c r="CC38" s="26">
        <f>128/12</f>
        <v>10.666666666666666</v>
      </c>
      <c r="CD38" s="26">
        <f t="shared" ref="CD38:CN38" si="101">128/12</f>
        <v>10.666666666666666</v>
      </c>
      <c r="CE38" s="26">
        <f t="shared" si="101"/>
        <v>10.666666666666666</v>
      </c>
      <c r="CF38" s="26">
        <f t="shared" si="101"/>
        <v>10.666666666666666</v>
      </c>
      <c r="CG38" s="26">
        <f t="shared" si="101"/>
        <v>10.666666666666666</v>
      </c>
      <c r="CH38" s="26">
        <f t="shared" si="101"/>
        <v>10.666666666666666</v>
      </c>
      <c r="CI38" s="26">
        <f t="shared" si="101"/>
        <v>10.666666666666666</v>
      </c>
      <c r="CJ38" s="26">
        <f t="shared" si="101"/>
        <v>10.666666666666666</v>
      </c>
      <c r="CK38" s="26">
        <f t="shared" si="101"/>
        <v>10.666666666666666</v>
      </c>
      <c r="CL38" s="26">
        <f t="shared" si="101"/>
        <v>10.666666666666666</v>
      </c>
      <c r="CM38" s="26">
        <f t="shared" si="101"/>
        <v>10.666666666666666</v>
      </c>
      <c r="CN38" s="26">
        <f t="shared" si="101"/>
        <v>10.666666666666666</v>
      </c>
      <c r="CO38" s="9">
        <f t="shared" si="11"/>
        <v>128</v>
      </c>
      <c r="CP38" s="6">
        <f t="shared" si="89"/>
        <v>246</v>
      </c>
      <c r="CQ38" s="26">
        <f t="shared" ref="CQ38:DB38" si="102">246/12</f>
        <v>20.5</v>
      </c>
      <c r="CR38" s="26">
        <f t="shared" si="102"/>
        <v>20.5</v>
      </c>
      <c r="CS38" s="26">
        <f t="shared" si="102"/>
        <v>20.5</v>
      </c>
      <c r="CT38" s="26">
        <f t="shared" si="102"/>
        <v>20.5</v>
      </c>
      <c r="CU38" s="26">
        <f t="shared" si="102"/>
        <v>20.5</v>
      </c>
      <c r="CV38" s="26">
        <f t="shared" si="102"/>
        <v>20.5</v>
      </c>
      <c r="CW38" s="26">
        <f t="shared" si="102"/>
        <v>20.5</v>
      </c>
      <c r="CX38" s="26">
        <f t="shared" si="102"/>
        <v>20.5</v>
      </c>
      <c r="CY38" s="26">
        <f t="shared" si="102"/>
        <v>20.5</v>
      </c>
      <c r="CZ38" s="26">
        <f t="shared" si="102"/>
        <v>20.5</v>
      </c>
      <c r="DA38" s="26">
        <f t="shared" si="102"/>
        <v>20.5</v>
      </c>
      <c r="DB38" s="26">
        <f t="shared" si="102"/>
        <v>20.5</v>
      </c>
      <c r="DC38" s="6">
        <f t="shared" si="13"/>
        <v>246</v>
      </c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">
        <f t="shared" si="90"/>
        <v>0</v>
      </c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">
        <f t="shared" si="91"/>
        <v>0</v>
      </c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10">
        <f t="shared" si="92"/>
        <v>0</v>
      </c>
    </row>
    <row r="39" spans="1:146" ht="16" x14ac:dyDescent="0.2">
      <c r="A39" s="120" t="e" cm="1">
        <f t="array" ref="A39">_xlfn.XLOOKUP(B39&amp;C39,#REF! &amp;#REF!,#REF!)</f>
        <v>#REF!</v>
      </c>
      <c r="B39" s="18" t="s">
        <v>166</v>
      </c>
      <c r="C39" s="117" t="s">
        <v>167</v>
      </c>
      <c r="D39" s="23" t="s">
        <v>168</v>
      </c>
      <c r="E39" s="23"/>
      <c r="F39" s="21" t="s">
        <v>120</v>
      </c>
      <c r="G39" s="26">
        <v>1</v>
      </c>
      <c r="H39" s="26">
        <v>1</v>
      </c>
      <c r="I39" s="3">
        <f t="shared" si="77"/>
        <v>0</v>
      </c>
      <c r="J39" s="3">
        <f t="shared" si="78"/>
        <v>0.83333333333333337</v>
      </c>
      <c r="K39" s="3">
        <f t="shared" si="79"/>
        <v>0.16666666666666666</v>
      </c>
      <c r="L39" s="4">
        <v>1440</v>
      </c>
      <c r="M39" s="4">
        <f t="shared" si="80"/>
        <v>1440</v>
      </c>
      <c r="N39" s="5">
        <f t="shared" si="81"/>
        <v>1440</v>
      </c>
      <c r="O39" s="9">
        <f>+AB39+AO39+BB39+BO39+CB39+CO39</f>
        <v>1200</v>
      </c>
      <c r="P39" s="25">
        <f>1128/12</f>
        <v>94</v>
      </c>
      <c r="Q39" s="25">
        <f t="shared" ref="Q39:AA39" si="103">1128/12</f>
        <v>94</v>
      </c>
      <c r="R39" s="25">
        <f t="shared" si="103"/>
        <v>94</v>
      </c>
      <c r="S39" s="25">
        <f t="shared" si="103"/>
        <v>94</v>
      </c>
      <c r="T39" s="25">
        <f t="shared" si="103"/>
        <v>94</v>
      </c>
      <c r="U39" s="25">
        <f t="shared" si="103"/>
        <v>94</v>
      </c>
      <c r="V39" s="25">
        <f t="shared" si="103"/>
        <v>94</v>
      </c>
      <c r="W39" s="25">
        <f t="shared" si="103"/>
        <v>94</v>
      </c>
      <c r="X39" s="25">
        <f t="shared" si="103"/>
        <v>94</v>
      </c>
      <c r="Y39" s="25">
        <f t="shared" si="103"/>
        <v>94</v>
      </c>
      <c r="Z39" s="25">
        <f t="shared" si="103"/>
        <v>94</v>
      </c>
      <c r="AA39" s="25">
        <f t="shared" si="103"/>
        <v>94</v>
      </c>
      <c r="AB39" s="9">
        <f t="shared" si="84"/>
        <v>1128</v>
      </c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9">
        <f t="shared" si="85"/>
        <v>0</v>
      </c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6">
        <f t="shared" si="86"/>
        <v>0</v>
      </c>
      <c r="BC39" s="26">
        <f>0.05*1440/12</f>
        <v>6</v>
      </c>
      <c r="BD39" s="26">
        <f t="shared" ref="BD39:BN39" si="104">0.05*1440/12</f>
        <v>6</v>
      </c>
      <c r="BE39" s="26">
        <f t="shared" si="104"/>
        <v>6</v>
      </c>
      <c r="BF39" s="26">
        <f t="shared" si="104"/>
        <v>6</v>
      </c>
      <c r="BG39" s="26">
        <f t="shared" si="104"/>
        <v>6</v>
      </c>
      <c r="BH39" s="26">
        <f t="shared" si="104"/>
        <v>6</v>
      </c>
      <c r="BI39" s="26">
        <f t="shared" si="104"/>
        <v>6</v>
      </c>
      <c r="BJ39" s="26">
        <f t="shared" si="104"/>
        <v>6</v>
      </c>
      <c r="BK39" s="26">
        <f t="shared" si="104"/>
        <v>6</v>
      </c>
      <c r="BL39" s="26">
        <f t="shared" si="104"/>
        <v>6</v>
      </c>
      <c r="BM39" s="26">
        <f t="shared" si="104"/>
        <v>6</v>
      </c>
      <c r="BN39" s="26">
        <f t="shared" si="104"/>
        <v>6</v>
      </c>
      <c r="BO39" s="6">
        <f t="shared" si="87"/>
        <v>72</v>
      </c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6">
        <f t="shared" si="88"/>
        <v>0</v>
      </c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9">
        <f t="shared" si="11"/>
        <v>0</v>
      </c>
      <c r="CP39" s="6">
        <f t="shared" si="89"/>
        <v>240</v>
      </c>
      <c r="CQ39" s="26">
        <f t="shared" ref="CQ39:DB39" si="105">(1/6)*1440/12</f>
        <v>20</v>
      </c>
      <c r="CR39" s="26">
        <f t="shared" si="105"/>
        <v>20</v>
      </c>
      <c r="CS39" s="26">
        <f t="shared" si="105"/>
        <v>20</v>
      </c>
      <c r="CT39" s="26">
        <f t="shared" si="105"/>
        <v>20</v>
      </c>
      <c r="CU39" s="26">
        <f t="shared" si="105"/>
        <v>20</v>
      </c>
      <c r="CV39" s="26">
        <f t="shared" si="105"/>
        <v>20</v>
      </c>
      <c r="CW39" s="26">
        <f t="shared" si="105"/>
        <v>20</v>
      </c>
      <c r="CX39" s="26">
        <f t="shared" si="105"/>
        <v>20</v>
      </c>
      <c r="CY39" s="26">
        <f t="shared" si="105"/>
        <v>20</v>
      </c>
      <c r="CZ39" s="26">
        <f t="shared" si="105"/>
        <v>20</v>
      </c>
      <c r="DA39" s="26">
        <f t="shared" si="105"/>
        <v>20</v>
      </c>
      <c r="DB39" s="26">
        <f t="shared" si="105"/>
        <v>20</v>
      </c>
      <c r="DC39" s="6">
        <f t="shared" si="13"/>
        <v>240</v>
      </c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">
        <f t="shared" si="90"/>
        <v>0</v>
      </c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">
        <f t="shared" si="91"/>
        <v>0</v>
      </c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10">
        <f t="shared" si="92"/>
        <v>0</v>
      </c>
    </row>
    <row r="40" spans="1:146" ht="16" x14ac:dyDescent="0.2">
      <c r="A40" s="120" t="e" cm="1">
        <f t="array" ref="A40">_xlfn.XLOOKUP(B40&amp;C40,#REF! &amp;#REF!,#REF!)</f>
        <v>#REF!</v>
      </c>
      <c r="B40" s="18" t="s">
        <v>169</v>
      </c>
      <c r="C40" s="117" t="s">
        <v>170</v>
      </c>
      <c r="D40" s="23" t="s">
        <v>171</v>
      </c>
      <c r="E40" s="23" t="s">
        <v>43</v>
      </c>
      <c r="F40" s="21" t="s">
        <v>172</v>
      </c>
      <c r="G40" s="26">
        <v>1</v>
      </c>
      <c r="H40" s="26">
        <v>1</v>
      </c>
      <c r="I40" s="3">
        <f t="shared" si="77"/>
        <v>0</v>
      </c>
      <c r="J40" s="3">
        <f t="shared" si="78"/>
        <v>0.73333333333333328</v>
      </c>
      <c r="K40" s="3">
        <f t="shared" si="79"/>
        <v>0.26666666666666666</v>
      </c>
      <c r="L40" s="4">
        <v>1440</v>
      </c>
      <c r="M40" s="4">
        <f t="shared" si="80"/>
        <v>1440</v>
      </c>
      <c r="N40" s="5">
        <f t="shared" si="81"/>
        <v>1440</v>
      </c>
      <c r="O40" s="9">
        <f t="shared" si="82"/>
        <v>1056</v>
      </c>
      <c r="P40" s="25">
        <f>(5/6)*1440/12</f>
        <v>100</v>
      </c>
      <c r="Q40" s="25">
        <f t="shared" ref="Q40:R40" si="106">(5/6)*1440/12</f>
        <v>100</v>
      </c>
      <c r="R40" s="25">
        <f t="shared" si="106"/>
        <v>100</v>
      </c>
      <c r="S40" s="25">
        <f>(1440-432)/12</f>
        <v>84</v>
      </c>
      <c r="T40" s="25">
        <f t="shared" ref="T40:AA40" si="107">(1440-432)/12</f>
        <v>84</v>
      </c>
      <c r="U40" s="25">
        <f t="shared" si="107"/>
        <v>84</v>
      </c>
      <c r="V40" s="25">
        <f t="shared" si="107"/>
        <v>84</v>
      </c>
      <c r="W40" s="25">
        <f t="shared" si="107"/>
        <v>84</v>
      </c>
      <c r="X40" s="25">
        <f t="shared" si="107"/>
        <v>84</v>
      </c>
      <c r="Y40" s="25">
        <f t="shared" si="107"/>
        <v>84</v>
      </c>
      <c r="Z40" s="25">
        <f t="shared" si="107"/>
        <v>84</v>
      </c>
      <c r="AA40" s="25">
        <f t="shared" si="107"/>
        <v>84</v>
      </c>
      <c r="AB40" s="9">
        <f t="shared" si="84"/>
        <v>1056</v>
      </c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9">
        <f t="shared" si="85"/>
        <v>0</v>
      </c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6">
        <f t="shared" si="86"/>
        <v>0</v>
      </c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6">
        <f t="shared" si="87"/>
        <v>0</v>
      </c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6">
        <f t="shared" si="88"/>
        <v>0</v>
      </c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9">
        <f t="shared" si="11"/>
        <v>0</v>
      </c>
      <c r="CP40" s="6">
        <f t="shared" si="89"/>
        <v>384</v>
      </c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6">
        <f t="shared" si="13"/>
        <v>0</v>
      </c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">
        <f t="shared" si="90"/>
        <v>0</v>
      </c>
      <c r="DQ40" s="26">
        <f t="shared" ref="DQ40:DS40" si="108">(1/6)*1440/12</f>
        <v>20</v>
      </c>
      <c r="DR40" s="26">
        <f t="shared" si="108"/>
        <v>20</v>
      </c>
      <c r="DS40" s="26">
        <f t="shared" si="108"/>
        <v>20</v>
      </c>
      <c r="DT40" s="26">
        <f>432/12</f>
        <v>36</v>
      </c>
      <c r="DU40" s="26">
        <f t="shared" ref="DU40:EB40" si="109">432/12</f>
        <v>36</v>
      </c>
      <c r="DV40" s="26">
        <f t="shared" si="109"/>
        <v>36</v>
      </c>
      <c r="DW40" s="26">
        <f t="shared" si="109"/>
        <v>36</v>
      </c>
      <c r="DX40" s="26">
        <f t="shared" si="109"/>
        <v>36</v>
      </c>
      <c r="DY40" s="26">
        <f t="shared" si="109"/>
        <v>36</v>
      </c>
      <c r="DZ40" s="26">
        <f t="shared" si="109"/>
        <v>36</v>
      </c>
      <c r="EA40" s="26">
        <f t="shared" si="109"/>
        <v>36</v>
      </c>
      <c r="EB40" s="26">
        <f t="shared" si="109"/>
        <v>36</v>
      </c>
      <c r="EC40" s="2">
        <f t="shared" si="91"/>
        <v>384</v>
      </c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10">
        <f t="shared" si="92"/>
        <v>0</v>
      </c>
    </row>
    <row r="41" spans="1:146" ht="16" x14ac:dyDescent="0.2">
      <c r="A41" s="120" t="e" cm="1">
        <f t="array" ref="A41">_xlfn.XLOOKUP(B41&amp;C41,#REF! &amp;#REF!,#REF!)</f>
        <v>#REF!</v>
      </c>
      <c r="B41" s="18" t="s">
        <v>173</v>
      </c>
      <c r="C41" s="117" t="s">
        <v>174</v>
      </c>
      <c r="D41" s="23" t="s">
        <v>175</v>
      </c>
      <c r="E41" s="23" t="s">
        <v>43</v>
      </c>
      <c r="F41" s="21" t="s">
        <v>176</v>
      </c>
      <c r="G41" s="26">
        <v>1</v>
      </c>
      <c r="H41" s="26">
        <v>0.6</v>
      </c>
      <c r="I41" s="3">
        <f t="shared" si="77"/>
        <v>0.4</v>
      </c>
      <c r="J41" s="3">
        <f t="shared" si="78"/>
        <v>0.56666666666666665</v>
      </c>
      <c r="K41" s="3">
        <f t="shared" si="79"/>
        <v>3.3333333333333333E-2</v>
      </c>
      <c r="L41" s="4">
        <v>1440</v>
      </c>
      <c r="M41" s="4">
        <f t="shared" si="80"/>
        <v>864</v>
      </c>
      <c r="N41" s="5">
        <f t="shared" si="81"/>
        <v>864</v>
      </c>
      <c r="O41" s="9">
        <f t="shared" si="82"/>
        <v>816</v>
      </c>
      <c r="P41" s="25">
        <f>(1440-252-180-624)/12</f>
        <v>32</v>
      </c>
      <c r="Q41" s="25">
        <f t="shared" ref="Q41:AA41" si="110">(1440-252-180-624)/12</f>
        <v>32</v>
      </c>
      <c r="R41" s="25">
        <f t="shared" si="110"/>
        <v>32</v>
      </c>
      <c r="S41" s="25">
        <f t="shared" si="110"/>
        <v>32</v>
      </c>
      <c r="T41" s="25">
        <f t="shared" si="110"/>
        <v>32</v>
      </c>
      <c r="U41" s="25">
        <f t="shared" si="110"/>
        <v>32</v>
      </c>
      <c r="V41" s="25">
        <f t="shared" si="110"/>
        <v>32</v>
      </c>
      <c r="W41" s="25">
        <f t="shared" si="110"/>
        <v>32</v>
      </c>
      <c r="X41" s="25">
        <f t="shared" si="110"/>
        <v>32</v>
      </c>
      <c r="Y41" s="25">
        <f t="shared" si="110"/>
        <v>32</v>
      </c>
      <c r="Z41" s="25">
        <f t="shared" si="110"/>
        <v>32</v>
      </c>
      <c r="AA41" s="25">
        <f t="shared" si="110"/>
        <v>32</v>
      </c>
      <c r="AB41" s="9">
        <f t="shared" si="84"/>
        <v>384</v>
      </c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9">
        <f t="shared" si="85"/>
        <v>0</v>
      </c>
      <c r="AP41" s="26">
        <f t="shared" ref="AP41:BA41" si="111">0.125*1440/12</f>
        <v>15</v>
      </c>
      <c r="AQ41" s="26">
        <f t="shared" si="111"/>
        <v>15</v>
      </c>
      <c r="AR41" s="26">
        <f t="shared" si="111"/>
        <v>15</v>
      </c>
      <c r="AS41" s="26">
        <f t="shared" si="111"/>
        <v>15</v>
      </c>
      <c r="AT41" s="26">
        <f t="shared" si="111"/>
        <v>15</v>
      </c>
      <c r="AU41" s="26">
        <f t="shared" si="111"/>
        <v>15</v>
      </c>
      <c r="AV41" s="26">
        <f t="shared" si="111"/>
        <v>15</v>
      </c>
      <c r="AW41" s="26">
        <f t="shared" si="111"/>
        <v>15</v>
      </c>
      <c r="AX41" s="26">
        <f t="shared" si="111"/>
        <v>15</v>
      </c>
      <c r="AY41" s="26">
        <f t="shared" si="111"/>
        <v>15</v>
      </c>
      <c r="AZ41" s="26">
        <f t="shared" si="111"/>
        <v>15</v>
      </c>
      <c r="BA41" s="26">
        <f t="shared" si="111"/>
        <v>15</v>
      </c>
      <c r="BB41" s="6">
        <f t="shared" si="86"/>
        <v>180</v>
      </c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6">
        <f t="shared" si="87"/>
        <v>0</v>
      </c>
      <c r="BP41" s="26">
        <f>252/12</f>
        <v>21</v>
      </c>
      <c r="BQ41" s="26">
        <f t="shared" ref="BQ41:CA41" si="112">252/12</f>
        <v>21</v>
      </c>
      <c r="BR41" s="26">
        <f t="shared" si="112"/>
        <v>21</v>
      </c>
      <c r="BS41" s="26">
        <f t="shared" si="112"/>
        <v>21</v>
      </c>
      <c r="BT41" s="26">
        <f t="shared" si="112"/>
        <v>21</v>
      </c>
      <c r="BU41" s="26">
        <f t="shared" si="112"/>
        <v>21</v>
      </c>
      <c r="BV41" s="26">
        <f t="shared" si="112"/>
        <v>21</v>
      </c>
      <c r="BW41" s="26">
        <f t="shared" si="112"/>
        <v>21</v>
      </c>
      <c r="BX41" s="26">
        <f t="shared" si="112"/>
        <v>21</v>
      </c>
      <c r="BY41" s="26">
        <f t="shared" si="112"/>
        <v>21</v>
      </c>
      <c r="BZ41" s="26">
        <f t="shared" si="112"/>
        <v>21</v>
      </c>
      <c r="CA41" s="26">
        <f t="shared" si="112"/>
        <v>21</v>
      </c>
      <c r="CB41" s="6">
        <f t="shared" si="88"/>
        <v>252</v>
      </c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9">
        <f t="shared" si="11"/>
        <v>0</v>
      </c>
      <c r="CP41" s="6">
        <f t="shared" si="89"/>
        <v>48</v>
      </c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6">
        <f t="shared" si="13"/>
        <v>0</v>
      </c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">
        <f t="shared" si="90"/>
        <v>0</v>
      </c>
      <c r="DQ41" s="26">
        <f t="shared" ref="DQ41:EB41" si="113">48/12</f>
        <v>4</v>
      </c>
      <c r="DR41" s="26">
        <f t="shared" si="113"/>
        <v>4</v>
      </c>
      <c r="DS41" s="26">
        <f t="shared" si="113"/>
        <v>4</v>
      </c>
      <c r="DT41" s="26">
        <f t="shared" si="113"/>
        <v>4</v>
      </c>
      <c r="DU41" s="26">
        <f t="shared" si="113"/>
        <v>4</v>
      </c>
      <c r="DV41" s="26">
        <f t="shared" si="113"/>
        <v>4</v>
      </c>
      <c r="DW41" s="26">
        <f t="shared" si="113"/>
        <v>4</v>
      </c>
      <c r="DX41" s="26">
        <f t="shared" si="113"/>
        <v>4</v>
      </c>
      <c r="DY41" s="26">
        <f t="shared" si="113"/>
        <v>4</v>
      </c>
      <c r="DZ41" s="26">
        <f t="shared" si="113"/>
        <v>4</v>
      </c>
      <c r="EA41" s="26">
        <f t="shared" si="113"/>
        <v>4</v>
      </c>
      <c r="EB41" s="26">
        <f t="shared" si="113"/>
        <v>4</v>
      </c>
      <c r="EC41" s="2">
        <f t="shared" si="91"/>
        <v>48</v>
      </c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10">
        <f t="shared" si="92"/>
        <v>0</v>
      </c>
    </row>
    <row r="42" spans="1:146" ht="16" x14ac:dyDescent="0.2">
      <c r="A42" s="120" t="e" cm="1">
        <f t="array" ref="A42">_xlfn.XLOOKUP(B42&amp;C42,#REF! &amp;#REF!,#REF!)</f>
        <v>#REF!</v>
      </c>
      <c r="B42" s="18" t="s">
        <v>177</v>
      </c>
      <c r="C42" s="117" t="s">
        <v>178</v>
      </c>
      <c r="D42" s="23" t="s">
        <v>179</v>
      </c>
      <c r="E42" s="23"/>
      <c r="F42" s="21" t="s">
        <v>180</v>
      </c>
      <c r="G42" s="26">
        <v>1</v>
      </c>
      <c r="H42" s="26">
        <v>1</v>
      </c>
      <c r="I42" s="3">
        <f t="shared" si="77"/>
        <v>0</v>
      </c>
      <c r="J42" s="3">
        <f t="shared" si="78"/>
        <v>0.75</v>
      </c>
      <c r="K42" s="3">
        <f t="shared" si="79"/>
        <v>0.25</v>
      </c>
      <c r="L42" s="4">
        <v>1440</v>
      </c>
      <c r="M42" s="4">
        <f t="shared" si="80"/>
        <v>1440</v>
      </c>
      <c r="N42" s="5">
        <f t="shared" si="81"/>
        <v>1440</v>
      </c>
      <c r="O42" s="9">
        <f t="shared" si="82"/>
        <v>1080</v>
      </c>
      <c r="P42" s="25">
        <f>552/12</f>
        <v>46</v>
      </c>
      <c r="Q42" s="25">
        <f t="shared" ref="Q42:AA42" si="114">552/12</f>
        <v>46</v>
      </c>
      <c r="R42" s="25">
        <f t="shared" si="114"/>
        <v>46</v>
      </c>
      <c r="S42" s="25">
        <f t="shared" si="114"/>
        <v>46</v>
      </c>
      <c r="T42" s="25">
        <f t="shared" si="114"/>
        <v>46</v>
      </c>
      <c r="U42" s="25">
        <f t="shared" si="114"/>
        <v>46</v>
      </c>
      <c r="V42" s="25">
        <f t="shared" si="114"/>
        <v>46</v>
      </c>
      <c r="W42" s="25">
        <f t="shared" si="114"/>
        <v>46</v>
      </c>
      <c r="X42" s="25">
        <f t="shared" si="114"/>
        <v>46</v>
      </c>
      <c r="Y42" s="25">
        <f t="shared" si="114"/>
        <v>46</v>
      </c>
      <c r="Z42" s="25">
        <f t="shared" si="114"/>
        <v>46</v>
      </c>
      <c r="AA42" s="25">
        <f t="shared" si="114"/>
        <v>46</v>
      </c>
      <c r="AB42" s="9">
        <f t="shared" si="84"/>
        <v>552</v>
      </c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9">
        <f t="shared" si="85"/>
        <v>0</v>
      </c>
      <c r="AP42" s="26">
        <f t="shared" ref="AP42:BA42" si="115">0.25*1440/12</f>
        <v>30</v>
      </c>
      <c r="AQ42" s="26">
        <f t="shared" si="115"/>
        <v>30</v>
      </c>
      <c r="AR42" s="26">
        <f t="shared" si="115"/>
        <v>30</v>
      </c>
      <c r="AS42" s="26">
        <f t="shared" si="115"/>
        <v>30</v>
      </c>
      <c r="AT42" s="26">
        <f t="shared" si="115"/>
        <v>30</v>
      </c>
      <c r="AU42" s="26">
        <f t="shared" si="115"/>
        <v>30</v>
      </c>
      <c r="AV42" s="26">
        <f t="shared" si="115"/>
        <v>30</v>
      </c>
      <c r="AW42" s="26">
        <f t="shared" si="115"/>
        <v>30</v>
      </c>
      <c r="AX42" s="26">
        <f t="shared" si="115"/>
        <v>30</v>
      </c>
      <c r="AY42" s="26">
        <f t="shared" si="115"/>
        <v>30</v>
      </c>
      <c r="AZ42" s="26">
        <f t="shared" si="115"/>
        <v>30</v>
      </c>
      <c r="BA42" s="26">
        <f t="shared" si="115"/>
        <v>30</v>
      </c>
      <c r="BB42" s="6">
        <f t="shared" si="86"/>
        <v>360</v>
      </c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6">
        <f t="shared" si="87"/>
        <v>0</v>
      </c>
      <c r="BP42" s="26">
        <f>168/12</f>
        <v>14</v>
      </c>
      <c r="BQ42" s="26">
        <f t="shared" ref="BQ42:CA42" si="116">168/12</f>
        <v>14</v>
      </c>
      <c r="BR42" s="26">
        <f t="shared" si="116"/>
        <v>14</v>
      </c>
      <c r="BS42" s="26">
        <f t="shared" si="116"/>
        <v>14</v>
      </c>
      <c r="BT42" s="26">
        <f t="shared" si="116"/>
        <v>14</v>
      </c>
      <c r="BU42" s="26">
        <f t="shared" si="116"/>
        <v>14</v>
      </c>
      <c r="BV42" s="26">
        <f t="shared" si="116"/>
        <v>14</v>
      </c>
      <c r="BW42" s="26">
        <f t="shared" si="116"/>
        <v>14</v>
      </c>
      <c r="BX42" s="26">
        <f t="shared" si="116"/>
        <v>14</v>
      </c>
      <c r="BY42" s="26">
        <f t="shared" si="116"/>
        <v>14</v>
      </c>
      <c r="BZ42" s="26">
        <f t="shared" si="116"/>
        <v>14</v>
      </c>
      <c r="CA42" s="26">
        <f t="shared" si="116"/>
        <v>14</v>
      </c>
      <c r="CB42" s="6">
        <f t="shared" si="88"/>
        <v>168</v>
      </c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9">
        <f t="shared" si="11"/>
        <v>0</v>
      </c>
      <c r="CP42" s="6">
        <f t="shared" si="89"/>
        <v>360</v>
      </c>
      <c r="CQ42" s="26">
        <f t="shared" ref="CQ42:DB42" si="117">0.25*1440/12</f>
        <v>30</v>
      </c>
      <c r="CR42" s="26">
        <f t="shared" si="117"/>
        <v>30</v>
      </c>
      <c r="CS42" s="26">
        <f t="shared" si="117"/>
        <v>30</v>
      </c>
      <c r="CT42" s="26">
        <f t="shared" si="117"/>
        <v>30</v>
      </c>
      <c r="CU42" s="26">
        <f t="shared" si="117"/>
        <v>30</v>
      </c>
      <c r="CV42" s="26">
        <f t="shared" si="117"/>
        <v>30</v>
      </c>
      <c r="CW42" s="26">
        <f t="shared" si="117"/>
        <v>30</v>
      </c>
      <c r="CX42" s="26">
        <f t="shared" si="117"/>
        <v>30</v>
      </c>
      <c r="CY42" s="26">
        <f t="shared" si="117"/>
        <v>30</v>
      </c>
      <c r="CZ42" s="26">
        <f t="shared" si="117"/>
        <v>30</v>
      </c>
      <c r="DA42" s="26">
        <f t="shared" si="117"/>
        <v>30</v>
      </c>
      <c r="DB42" s="26">
        <f t="shared" si="117"/>
        <v>30</v>
      </c>
      <c r="DC42" s="6">
        <f t="shared" si="13"/>
        <v>360</v>
      </c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">
        <f t="shared" si="90"/>
        <v>0</v>
      </c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">
        <f t="shared" si="91"/>
        <v>0</v>
      </c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10">
        <f t="shared" si="92"/>
        <v>0</v>
      </c>
    </row>
    <row r="43" spans="1:146" ht="16" x14ac:dyDescent="0.2">
      <c r="A43" s="120" t="e" cm="1">
        <f t="array" ref="A43">_xlfn.XLOOKUP(B43&amp;C43,#REF! &amp;#REF!,#REF!)</f>
        <v>#REF!</v>
      </c>
      <c r="B43" s="18" t="s">
        <v>181</v>
      </c>
      <c r="C43" s="117" t="s">
        <v>182</v>
      </c>
      <c r="D43" s="23"/>
      <c r="E43" s="23"/>
      <c r="F43" s="21" t="s">
        <v>183</v>
      </c>
      <c r="G43" s="26">
        <v>1</v>
      </c>
      <c r="H43" s="26">
        <v>1</v>
      </c>
      <c r="I43" s="3">
        <f t="shared" si="77"/>
        <v>0</v>
      </c>
      <c r="J43" s="3">
        <f t="shared" si="78"/>
        <v>0.93333333333333335</v>
      </c>
      <c r="K43" s="3">
        <f t="shared" si="79"/>
        <v>6.6666666666666666E-2</v>
      </c>
      <c r="L43" s="4">
        <v>1440</v>
      </c>
      <c r="M43" s="4">
        <f t="shared" si="80"/>
        <v>1440</v>
      </c>
      <c r="N43" s="5">
        <f t="shared" si="81"/>
        <v>1440</v>
      </c>
      <c r="O43" s="9">
        <f t="shared" si="82"/>
        <v>1344</v>
      </c>
      <c r="P43" s="25">
        <f t="shared" ref="P43:AA43" si="118">1344/12</f>
        <v>112</v>
      </c>
      <c r="Q43" s="25">
        <f t="shared" si="118"/>
        <v>112</v>
      </c>
      <c r="R43" s="25">
        <f t="shared" si="118"/>
        <v>112</v>
      </c>
      <c r="S43" s="25">
        <f t="shared" si="118"/>
        <v>112</v>
      </c>
      <c r="T43" s="25">
        <f t="shared" si="118"/>
        <v>112</v>
      </c>
      <c r="U43" s="25">
        <f t="shared" si="118"/>
        <v>112</v>
      </c>
      <c r="V43" s="25">
        <f t="shared" si="118"/>
        <v>112</v>
      </c>
      <c r="W43" s="25">
        <f t="shared" si="118"/>
        <v>112</v>
      </c>
      <c r="X43" s="25">
        <f t="shared" si="118"/>
        <v>112</v>
      </c>
      <c r="Y43" s="25">
        <f t="shared" si="118"/>
        <v>112</v>
      </c>
      <c r="Z43" s="25">
        <f t="shared" si="118"/>
        <v>112</v>
      </c>
      <c r="AA43" s="25">
        <f t="shared" si="118"/>
        <v>112</v>
      </c>
      <c r="AB43" s="9">
        <f t="shared" si="84"/>
        <v>1344</v>
      </c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9">
        <f t="shared" si="85"/>
        <v>0</v>
      </c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6">
        <f t="shared" si="86"/>
        <v>0</v>
      </c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6">
        <f t="shared" si="87"/>
        <v>0</v>
      </c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6">
        <f t="shared" si="88"/>
        <v>0</v>
      </c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9">
        <f t="shared" si="11"/>
        <v>0</v>
      </c>
      <c r="CP43" s="6">
        <f t="shared" si="89"/>
        <v>96</v>
      </c>
      <c r="CQ43" s="26">
        <f t="shared" ref="CQ43:DB43" si="119">96/12</f>
        <v>8</v>
      </c>
      <c r="CR43" s="26">
        <f t="shared" si="119"/>
        <v>8</v>
      </c>
      <c r="CS43" s="26">
        <f t="shared" si="119"/>
        <v>8</v>
      </c>
      <c r="CT43" s="26">
        <f t="shared" si="119"/>
        <v>8</v>
      </c>
      <c r="CU43" s="26">
        <f t="shared" si="119"/>
        <v>8</v>
      </c>
      <c r="CV43" s="26">
        <f t="shared" si="119"/>
        <v>8</v>
      </c>
      <c r="CW43" s="26">
        <f t="shared" si="119"/>
        <v>8</v>
      </c>
      <c r="CX43" s="26">
        <f t="shared" si="119"/>
        <v>8</v>
      </c>
      <c r="CY43" s="26">
        <f t="shared" si="119"/>
        <v>8</v>
      </c>
      <c r="CZ43" s="26">
        <f t="shared" si="119"/>
        <v>8</v>
      </c>
      <c r="DA43" s="26">
        <f t="shared" si="119"/>
        <v>8</v>
      </c>
      <c r="DB43" s="26">
        <f t="shared" si="119"/>
        <v>8</v>
      </c>
      <c r="DC43" s="6">
        <f t="shared" si="13"/>
        <v>96</v>
      </c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">
        <f t="shared" si="90"/>
        <v>0</v>
      </c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">
        <f t="shared" si="91"/>
        <v>0</v>
      </c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10">
        <f t="shared" si="92"/>
        <v>0</v>
      </c>
    </row>
    <row r="44" spans="1:146" ht="16" x14ac:dyDescent="0.2">
      <c r="A44" s="120" t="e" cm="1">
        <f t="array" ref="A44">_xlfn.XLOOKUP(B44&amp;C44,#REF! &amp;#REF!,#REF!)</f>
        <v>#REF!</v>
      </c>
      <c r="B44" s="18" t="s">
        <v>184</v>
      </c>
      <c r="C44" s="117" t="s">
        <v>185</v>
      </c>
      <c r="D44" s="23" t="s">
        <v>186</v>
      </c>
      <c r="E44" s="23" t="s">
        <v>119</v>
      </c>
      <c r="F44" s="28"/>
      <c r="G44" s="26">
        <v>1</v>
      </c>
      <c r="H44" s="26">
        <v>1</v>
      </c>
      <c r="I44" s="3">
        <f t="shared" si="77"/>
        <v>0</v>
      </c>
      <c r="J44" s="3">
        <f t="shared" si="78"/>
        <v>0.4375</v>
      </c>
      <c r="K44" s="3">
        <f t="shared" si="79"/>
        <v>0.5625</v>
      </c>
      <c r="L44" s="4">
        <v>1440</v>
      </c>
      <c r="M44" s="4">
        <f t="shared" si="80"/>
        <v>1440</v>
      </c>
      <c r="N44" s="5">
        <f t="shared" si="81"/>
        <v>1440</v>
      </c>
      <c r="O44" s="9">
        <f t="shared" si="82"/>
        <v>630</v>
      </c>
      <c r="P44" s="25">
        <f>438/12</f>
        <v>36.5</v>
      </c>
      <c r="Q44" s="25">
        <f t="shared" ref="Q44:AA44" si="120">438/12</f>
        <v>36.5</v>
      </c>
      <c r="R44" s="25">
        <f t="shared" si="120"/>
        <v>36.5</v>
      </c>
      <c r="S44" s="25">
        <f t="shared" si="120"/>
        <v>36.5</v>
      </c>
      <c r="T44" s="25">
        <f t="shared" si="120"/>
        <v>36.5</v>
      </c>
      <c r="U44" s="25">
        <f t="shared" si="120"/>
        <v>36.5</v>
      </c>
      <c r="V44" s="25">
        <f t="shared" si="120"/>
        <v>36.5</v>
      </c>
      <c r="W44" s="25">
        <f t="shared" si="120"/>
        <v>36.5</v>
      </c>
      <c r="X44" s="25">
        <f t="shared" si="120"/>
        <v>36.5</v>
      </c>
      <c r="Y44" s="25">
        <f t="shared" si="120"/>
        <v>36.5</v>
      </c>
      <c r="Z44" s="25">
        <f t="shared" si="120"/>
        <v>36.5</v>
      </c>
      <c r="AA44" s="25">
        <f t="shared" si="120"/>
        <v>36.5</v>
      </c>
      <c r="AB44" s="9">
        <f t="shared" si="84"/>
        <v>438</v>
      </c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9">
        <f t="shared" si="85"/>
        <v>0</v>
      </c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6">
        <f t="shared" si="86"/>
        <v>0</v>
      </c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6">
        <f t="shared" si="87"/>
        <v>0</v>
      </c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6">
        <f t="shared" si="88"/>
        <v>0</v>
      </c>
      <c r="CC44" s="26">
        <f>192/12</f>
        <v>16</v>
      </c>
      <c r="CD44" s="26">
        <f t="shared" ref="CD44:CN44" si="121">192/12</f>
        <v>16</v>
      </c>
      <c r="CE44" s="26">
        <f t="shared" si="121"/>
        <v>16</v>
      </c>
      <c r="CF44" s="26">
        <f t="shared" si="121"/>
        <v>16</v>
      </c>
      <c r="CG44" s="26">
        <f t="shared" si="121"/>
        <v>16</v>
      </c>
      <c r="CH44" s="26">
        <f t="shared" si="121"/>
        <v>16</v>
      </c>
      <c r="CI44" s="26">
        <f t="shared" si="121"/>
        <v>16</v>
      </c>
      <c r="CJ44" s="26">
        <f t="shared" si="121"/>
        <v>16</v>
      </c>
      <c r="CK44" s="26">
        <f t="shared" si="121"/>
        <v>16</v>
      </c>
      <c r="CL44" s="26">
        <f t="shared" si="121"/>
        <v>16</v>
      </c>
      <c r="CM44" s="26">
        <f t="shared" si="121"/>
        <v>16</v>
      </c>
      <c r="CN44" s="26">
        <f t="shared" si="121"/>
        <v>16</v>
      </c>
      <c r="CO44" s="9">
        <f t="shared" ref="CO44:CO70" si="122">SUM(CC44:CN44)</f>
        <v>192</v>
      </c>
      <c r="CP44" s="6">
        <f t="shared" si="89"/>
        <v>810</v>
      </c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6">
        <f t="shared" si="13"/>
        <v>0</v>
      </c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">
        <f t="shared" si="90"/>
        <v>0</v>
      </c>
      <c r="DQ44" s="26">
        <f t="shared" ref="DQ44:EB44" si="123">1440*0.5625/12</f>
        <v>67.5</v>
      </c>
      <c r="DR44" s="26">
        <f t="shared" si="123"/>
        <v>67.5</v>
      </c>
      <c r="DS44" s="26">
        <f t="shared" si="123"/>
        <v>67.5</v>
      </c>
      <c r="DT44" s="26">
        <f t="shared" si="123"/>
        <v>67.5</v>
      </c>
      <c r="DU44" s="26">
        <f t="shared" si="123"/>
        <v>67.5</v>
      </c>
      <c r="DV44" s="26">
        <f t="shared" si="123"/>
        <v>67.5</v>
      </c>
      <c r="DW44" s="26">
        <f t="shared" si="123"/>
        <v>67.5</v>
      </c>
      <c r="DX44" s="26">
        <f t="shared" si="123"/>
        <v>67.5</v>
      </c>
      <c r="DY44" s="26">
        <f t="shared" si="123"/>
        <v>67.5</v>
      </c>
      <c r="DZ44" s="26">
        <f t="shared" si="123"/>
        <v>67.5</v>
      </c>
      <c r="EA44" s="26">
        <f t="shared" si="123"/>
        <v>67.5</v>
      </c>
      <c r="EB44" s="26">
        <f t="shared" si="123"/>
        <v>67.5</v>
      </c>
      <c r="EC44" s="2">
        <f t="shared" si="91"/>
        <v>810</v>
      </c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10">
        <f t="shared" si="92"/>
        <v>0</v>
      </c>
    </row>
    <row r="45" spans="1:146" ht="16" x14ac:dyDescent="0.2">
      <c r="A45" s="120" t="e" cm="1">
        <f t="array" ref="A45">_xlfn.XLOOKUP(B45&amp;C45,#REF! &amp;#REF!,#REF!)</f>
        <v>#REF!</v>
      </c>
      <c r="B45" s="18" t="s">
        <v>187</v>
      </c>
      <c r="C45" s="117" t="s">
        <v>93</v>
      </c>
      <c r="D45" s="23"/>
      <c r="E45" s="23"/>
      <c r="F45" s="21" t="s">
        <v>188</v>
      </c>
      <c r="G45" s="26">
        <v>1</v>
      </c>
      <c r="H45" s="26">
        <v>0.25</v>
      </c>
      <c r="I45" s="3">
        <f t="shared" si="77"/>
        <v>0.75</v>
      </c>
      <c r="J45" s="3">
        <f t="shared" si="78"/>
        <v>0.25</v>
      </c>
      <c r="K45" s="3">
        <f t="shared" si="79"/>
        <v>0</v>
      </c>
      <c r="L45" s="4">
        <v>1440</v>
      </c>
      <c r="M45" s="4">
        <f t="shared" si="80"/>
        <v>360</v>
      </c>
      <c r="N45" s="5">
        <f t="shared" si="81"/>
        <v>360</v>
      </c>
      <c r="O45" s="9">
        <f t="shared" si="82"/>
        <v>360</v>
      </c>
      <c r="P45" s="25">
        <f t="shared" ref="P45:AA45" si="124">0.25*1440/12</f>
        <v>30</v>
      </c>
      <c r="Q45" s="25">
        <f t="shared" si="124"/>
        <v>30</v>
      </c>
      <c r="R45" s="25">
        <f t="shared" si="124"/>
        <v>30</v>
      </c>
      <c r="S45" s="25">
        <f t="shared" si="124"/>
        <v>30</v>
      </c>
      <c r="T45" s="25">
        <f t="shared" si="124"/>
        <v>30</v>
      </c>
      <c r="U45" s="25">
        <f t="shared" si="124"/>
        <v>30</v>
      </c>
      <c r="V45" s="25">
        <f t="shared" si="124"/>
        <v>30</v>
      </c>
      <c r="W45" s="25">
        <f t="shared" si="124"/>
        <v>30</v>
      </c>
      <c r="X45" s="25">
        <f t="shared" si="124"/>
        <v>30</v>
      </c>
      <c r="Y45" s="25">
        <f t="shared" si="124"/>
        <v>30</v>
      </c>
      <c r="Z45" s="25">
        <f t="shared" si="124"/>
        <v>30</v>
      </c>
      <c r="AA45" s="25">
        <f t="shared" si="124"/>
        <v>30</v>
      </c>
      <c r="AB45" s="9">
        <f t="shared" si="84"/>
        <v>360</v>
      </c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9">
        <f t="shared" si="85"/>
        <v>0</v>
      </c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6">
        <f t="shared" si="86"/>
        <v>0</v>
      </c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6">
        <f t="shared" si="87"/>
        <v>0</v>
      </c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6">
        <f t="shared" si="88"/>
        <v>0</v>
      </c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9">
        <f t="shared" si="122"/>
        <v>0</v>
      </c>
      <c r="CP45" s="6">
        <f t="shared" si="89"/>
        <v>0</v>
      </c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6">
        <f t="shared" si="13"/>
        <v>0</v>
      </c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">
        <f t="shared" si="90"/>
        <v>0</v>
      </c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">
        <f t="shared" si="91"/>
        <v>0</v>
      </c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10">
        <f t="shared" si="92"/>
        <v>0</v>
      </c>
    </row>
    <row r="46" spans="1:146" ht="16" x14ac:dyDescent="0.2">
      <c r="A46" s="120" t="e" cm="1">
        <f t="array" ref="A46">_xlfn.XLOOKUP(B46&amp;C46,#REF! &amp;#REF!,#REF!)</f>
        <v>#REF!</v>
      </c>
      <c r="B46" s="18" t="s">
        <v>189</v>
      </c>
      <c r="C46" s="118" t="s">
        <v>190</v>
      </c>
      <c r="D46" s="23" t="s">
        <v>191</v>
      </c>
      <c r="E46" s="23"/>
      <c r="F46" s="113" t="s">
        <v>192</v>
      </c>
      <c r="G46" s="26">
        <v>1</v>
      </c>
      <c r="H46" s="26">
        <v>1</v>
      </c>
      <c r="I46" s="3">
        <f t="shared" si="77"/>
        <v>0</v>
      </c>
      <c r="J46" s="3">
        <f t="shared" si="78"/>
        <v>0.56687500000000002</v>
      </c>
      <c r="K46" s="3">
        <f t="shared" si="79"/>
        <v>0.35</v>
      </c>
      <c r="L46" s="4">
        <v>1440</v>
      </c>
      <c r="M46" s="4">
        <f t="shared" si="80"/>
        <v>1440</v>
      </c>
      <c r="N46" s="5">
        <f t="shared" si="81"/>
        <v>1320.3</v>
      </c>
      <c r="O46" s="9">
        <f t="shared" si="82"/>
        <v>816.30000000000007</v>
      </c>
      <c r="P46" s="25">
        <f>0.5*1440/12</f>
        <v>60</v>
      </c>
      <c r="Q46" s="25">
        <f t="shared" ref="Q46:AA46" si="125">0.5*1440/12</f>
        <v>60</v>
      </c>
      <c r="R46" s="25">
        <f t="shared" si="125"/>
        <v>60</v>
      </c>
      <c r="S46" s="25">
        <f>(0.5*1440/12) - 19.95</f>
        <v>40.049999999999997</v>
      </c>
      <c r="T46" s="25">
        <f t="shared" ref="T46:X46" si="126">(0.5*1440/12) - 19.95</f>
        <v>40.049999999999997</v>
      </c>
      <c r="U46" s="25">
        <f t="shared" si="126"/>
        <v>40.049999999999997</v>
      </c>
      <c r="V46" s="25">
        <f t="shared" si="126"/>
        <v>40.049999999999997</v>
      </c>
      <c r="W46" s="25">
        <f t="shared" si="126"/>
        <v>40.049999999999997</v>
      </c>
      <c r="X46" s="25">
        <f t="shared" si="126"/>
        <v>40.049999999999997</v>
      </c>
      <c r="Y46" s="25">
        <f t="shared" si="125"/>
        <v>60</v>
      </c>
      <c r="Z46" s="25">
        <f t="shared" si="125"/>
        <v>60</v>
      </c>
      <c r="AA46" s="25">
        <f t="shared" si="125"/>
        <v>60</v>
      </c>
      <c r="AB46" s="9">
        <f t="shared" si="84"/>
        <v>600.30000000000007</v>
      </c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9">
        <f t="shared" si="85"/>
        <v>0</v>
      </c>
      <c r="AP46" s="26">
        <f t="shared" ref="AP46:BA46" si="127">0.1*1440/12</f>
        <v>12</v>
      </c>
      <c r="AQ46" s="26">
        <f t="shared" si="127"/>
        <v>12</v>
      </c>
      <c r="AR46" s="26">
        <f t="shared" si="127"/>
        <v>12</v>
      </c>
      <c r="AS46" s="26">
        <f t="shared" si="127"/>
        <v>12</v>
      </c>
      <c r="AT46" s="26">
        <f t="shared" si="127"/>
        <v>12</v>
      </c>
      <c r="AU46" s="26">
        <f t="shared" si="127"/>
        <v>12</v>
      </c>
      <c r="AV46" s="26">
        <f t="shared" si="127"/>
        <v>12</v>
      </c>
      <c r="AW46" s="26">
        <f t="shared" si="127"/>
        <v>12</v>
      </c>
      <c r="AX46" s="26">
        <f t="shared" si="127"/>
        <v>12</v>
      </c>
      <c r="AY46" s="26">
        <f t="shared" si="127"/>
        <v>12</v>
      </c>
      <c r="AZ46" s="26">
        <f t="shared" si="127"/>
        <v>12</v>
      </c>
      <c r="BA46" s="26">
        <f t="shared" si="127"/>
        <v>12</v>
      </c>
      <c r="BB46" s="6">
        <f t="shared" si="86"/>
        <v>144</v>
      </c>
      <c r="BC46" s="26">
        <f>0.05*1440/12</f>
        <v>6</v>
      </c>
      <c r="BD46" s="26">
        <f t="shared" ref="BD46:BN46" si="128">0.05*1440/12</f>
        <v>6</v>
      </c>
      <c r="BE46" s="26">
        <f t="shared" si="128"/>
        <v>6</v>
      </c>
      <c r="BF46" s="26">
        <f t="shared" si="128"/>
        <v>6</v>
      </c>
      <c r="BG46" s="26">
        <f t="shared" si="128"/>
        <v>6</v>
      </c>
      <c r="BH46" s="26">
        <f t="shared" si="128"/>
        <v>6</v>
      </c>
      <c r="BI46" s="26">
        <f t="shared" si="128"/>
        <v>6</v>
      </c>
      <c r="BJ46" s="26">
        <f t="shared" si="128"/>
        <v>6</v>
      </c>
      <c r="BK46" s="26">
        <f t="shared" si="128"/>
        <v>6</v>
      </c>
      <c r="BL46" s="26">
        <f t="shared" si="128"/>
        <v>6</v>
      </c>
      <c r="BM46" s="26">
        <f t="shared" si="128"/>
        <v>6</v>
      </c>
      <c r="BN46" s="26">
        <f t="shared" si="128"/>
        <v>6</v>
      </c>
      <c r="BO46" s="6">
        <f t="shared" si="87"/>
        <v>72</v>
      </c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6">
        <f t="shared" si="88"/>
        <v>0</v>
      </c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9">
        <f t="shared" si="122"/>
        <v>0</v>
      </c>
      <c r="CP46" s="6">
        <f t="shared" si="89"/>
        <v>503.99999999999994</v>
      </c>
      <c r="CQ46" s="26">
        <f>0.35*1440/12</f>
        <v>41.999999999999993</v>
      </c>
      <c r="CR46" s="26">
        <f t="shared" ref="CR46:DB46" si="129">0.35*1440/12</f>
        <v>41.999999999999993</v>
      </c>
      <c r="CS46" s="26">
        <f t="shared" si="129"/>
        <v>41.999999999999993</v>
      </c>
      <c r="CT46" s="26">
        <f t="shared" si="129"/>
        <v>41.999999999999993</v>
      </c>
      <c r="CU46" s="26">
        <f t="shared" si="129"/>
        <v>41.999999999999993</v>
      </c>
      <c r="CV46" s="26">
        <f t="shared" si="129"/>
        <v>41.999999999999993</v>
      </c>
      <c r="CW46" s="26">
        <f t="shared" si="129"/>
        <v>41.999999999999993</v>
      </c>
      <c r="CX46" s="26">
        <f t="shared" si="129"/>
        <v>41.999999999999993</v>
      </c>
      <c r="CY46" s="26">
        <f t="shared" si="129"/>
        <v>41.999999999999993</v>
      </c>
      <c r="CZ46" s="26">
        <f t="shared" si="129"/>
        <v>41.999999999999993</v>
      </c>
      <c r="DA46" s="26">
        <f t="shared" si="129"/>
        <v>41.999999999999993</v>
      </c>
      <c r="DB46" s="26">
        <f t="shared" si="129"/>
        <v>41.999999999999993</v>
      </c>
      <c r="DC46" s="6">
        <f t="shared" si="13"/>
        <v>503.99999999999994</v>
      </c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">
        <f t="shared" si="90"/>
        <v>0</v>
      </c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">
        <f t="shared" si="91"/>
        <v>0</v>
      </c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10">
        <f t="shared" si="92"/>
        <v>0</v>
      </c>
    </row>
    <row r="47" spans="1:146" ht="16" x14ac:dyDescent="0.2">
      <c r="A47" s="120" t="e" cm="1">
        <f t="array" ref="A47">_xlfn.XLOOKUP(B47&amp;C47,#REF! &amp;#REF!,#REF!)</f>
        <v>#REF!</v>
      </c>
      <c r="B47" s="18" t="s">
        <v>193</v>
      </c>
      <c r="C47" s="117" t="s">
        <v>194</v>
      </c>
      <c r="D47" s="23" t="s">
        <v>195</v>
      </c>
      <c r="E47" s="23"/>
      <c r="F47" s="21" t="s">
        <v>196</v>
      </c>
      <c r="G47" s="26">
        <v>1</v>
      </c>
      <c r="H47" s="26">
        <v>1</v>
      </c>
      <c r="I47" s="3">
        <f t="shared" si="77"/>
        <v>0</v>
      </c>
      <c r="J47" s="3">
        <f t="shared" si="78"/>
        <v>0.41666666666666669</v>
      </c>
      <c r="K47" s="3">
        <f t="shared" si="79"/>
        <v>0.58333333333333337</v>
      </c>
      <c r="L47" s="4">
        <v>1440</v>
      </c>
      <c r="M47" s="4">
        <f t="shared" si="80"/>
        <v>1440</v>
      </c>
      <c r="N47" s="5">
        <f t="shared" si="81"/>
        <v>1440</v>
      </c>
      <c r="O47" s="9">
        <f t="shared" si="82"/>
        <v>600</v>
      </c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9">
        <f t="shared" si="84"/>
        <v>0</v>
      </c>
      <c r="AC47" s="26">
        <f t="shared" ref="AC47:AN47" si="130">600/12</f>
        <v>50</v>
      </c>
      <c r="AD47" s="26">
        <f t="shared" si="130"/>
        <v>50</v>
      </c>
      <c r="AE47" s="26">
        <f t="shared" si="130"/>
        <v>50</v>
      </c>
      <c r="AF47" s="26">
        <f t="shared" si="130"/>
        <v>50</v>
      </c>
      <c r="AG47" s="26">
        <f t="shared" si="130"/>
        <v>50</v>
      </c>
      <c r="AH47" s="26">
        <f t="shared" si="130"/>
        <v>50</v>
      </c>
      <c r="AI47" s="26">
        <f t="shared" si="130"/>
        <v>50</v>
      </c>
      <c r="AJ47" s="26">
        <f t="shared" si="130"/>
        <v>50</v>
      </c>
      <c r="AK47" s="26">
        <f t="shared" si="130"/>
        <v>50</v>
      </c>
      <c r="AL47" s="26">
        <f t="shared" si="130"/>
        <v>50</v>
      </c>
      <c r="AM47" s="26">
        <f t="shared" si="130"/>
        <v>50</v>
      </c>
      <c r="AN47" s="26">
        <f t="shared" si="130"/>
        <v>50</v>
      </c>
      <c r="AO47" s="9">
        <f t="shared" si="85"/>
        <v>600</v>
      </c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6">
        <f t="shared" si="86"/>
        <v>0</v>
      </c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6">
        <f t="shared" si="87"/>
        <v>0</v>
      </c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6">
        <f t="shared" si="88"/>
        <v>0</v>
      </c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9">
        <f t="shared" si="122"/>
        <v>0</v>
      </c>
      <c r="CP47" s="6">
        <f t="shared" si="89"/>
        <v>840</v>
      </c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6">
        <f t="shared" si="13"/>
        <v>0</v>
      </c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">
        <f t="shared" si="90"/>
        <v>0</v>
      </c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">
        <f t="shared" si="91"/>
        <v>0</v>
      </c>
      <c r="ED47" s="26">
        <f t="shared" ref="ED47:EO47" si="131">840/12</f>
        <v>70</v>
      </c>
      <c r="EE47" s="26">
        <f t="shared" si="131"/>
        <v>70</v>
      </c>
      <c r="EF47" s="26">
        <f t="shared" si="131"/>
        <v>70</v>
      </c>
      <c r="EG47" s="26">
        <f t="shared" si="131"/>
        <v>70</v>
      </c>
      <c r="EH47" s="26">
        <f t="shared" si="131"/>
        <v>70</v>
      </c>
      <c r="EI47" s="26">
        <f t="shared" si="131"/>
        <v>70</v>
      </c>
      <c r="EJ47" s="26">
        <f t="shared" si="131"/>
        <v>70</v>
      </c>
      <c r="EK47" s="26">
        <f t="shared" si="131"/>
        <v>70</v>
      </c>
      <c r="EL47" s="26">
        <f t="shared" si="131"/>
        <v>70</v>
      </c>
      <c r="EM47" s="26">
        <f t="shared" si="131"/>
        <v>70</v>
      </c>
      <c r="EN47" s="26">
        <f t="shared" si="131"/>
        <v>70</v>
      </c>
      <c r="EO47" s="26">
        <f t="shared" si="131"/>
        <v>70</v>
      </c>
      <c r="EP47" s="10">
        <f t="shared" si="92"/>
        <v>840</v>
      </c>
    </row>
    <row r="48" spans="1:146" ht="16" x14ac:dyDescent="0.2">
      <c r="A48" s="120" t="e" cm="1">
        <f t="array" ref="A48">_xlfn.XLOOKUP(B48&amp;C48,#REF! &amp;#REF!,#REF!)</f>
        <v>#REF!</v>
      </c>
      <c r="B48" s="18" t="s">
        <v>197</v>
      </c>
      <c r="C48" s="117" t="s">
        <v>198</v>
      </c>
      <c r="D48" s="23" t="s">
        <v>199</v>
      </c>
      <c r="E48" s="23" t="s">
        <v>119</v>
      </c>
      <c r="F48" s="28" t="s">
        <v>200</v>
      </c>
      <c r="G48" s="26">
        <v>1</v>
      </c>
      <c r="H48" s="26">
        <v>1</v>
      </c>
      <c r="I48" s="3">
        <f t="shared" si="77"/>
        <v>0</v>
      </c>
      <c r="J48" s="3">
        <f t="shared" si="78"/>
        <v>0.8</v>
      </c>
      <c r="K48" s="3">
        <f t="shared" si="79"/>
        <v>0.2</v>
      </c>
      <c r="L48" s="4">
        <v>1440</v>
      </c>
      <c r="M48" s="4">
        <f t="shared" si="80"/>
        <v>1440</v>
      </c>
      <c r="N48" s="5">
        <f t="shared" si="81"/>
        <v>1440</v>
      </c>
      <c r="O48" s="9">
        <f t="shared" si="82"/>
        <v>1152</v>
      </c>
      <c r="P48" s="25">
        <f>792/12</f>
        <v>66</v>
      </c>
      <c r="Q48" s="25">
        <f t="shared" ref="Q48:AA48" si="132">792/12</f>
        <v>66</v>
      </c>
      <c r="R48" s="25">
        <f t="shared" si="132"/>
        <v>66</v>
      </c>
      <c r="S48" s="25">
        <f t="shared" si="132"/>
        <v>66</v>
      </c>
      <c r="T48" s="25">
        <f t="shared" si="132"/>
        <v>66</v>
      </c>
      <c r="U48" s="25">
        <f t="shared" si="132"/>
        <v>66</v>
      </c>
      <c r="V48" s="25">
        <f t="shared" si="132"/>
        <v>66</v>
      </c>
      <c r="W48" s="25">
        <f t="shared" si="132"/>
        <v>66</v>
      </c>
      <c r="X48" s="25">
        <f t="shared" si="132"/>
        <v>66</v>
      </c>
      <c r="Y48" s="25">
        <f t="shared" si="132"/>
        <v>66</v>
      </c>
      <c r="Z48" s="25">
        <f t="shared" si="132"/>
        <v>66</v>
      </c>
      <c r="AA48" s="25">
        <f t="shared" si="132"/>
        <v>66</v>
      </c>
      <c r="AB48" s="9">
        <f t="shared" si="84"/>
        <v>792</v>
      </c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9">
        <f t="shared" si="85"/>
        <v>0</v>
      </c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6">
        <f t="shared" si="86"/>
        <v>0</v>
      </c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6">
        <f t="shared" si="87"/>
        <v>0</v>
      </c>
      <c r="BP48" s="26">
        <f>168/12</f>
        <v>14</v>
      </c>
      <c r="BQ48" s="26">
        <f t="shared" ref="BQ48:CA48" si="133">168/12</f>
        <v>14</v>
      </c>
      <c r="BR48" s="26">
        <f t="shared" si="133"/>
        <v>14</v>
      </c>
      <c r="BS48" s="26">
        <f t="shared" si="133"/>
        <v>14</v>
      </c>
      <c r="BT48" s="26">
        <f t="shared" si="133"/>
        <v>14</v>
      </c>
      <c r="BU48" s="26">
        <f t="shared" si="133"/>
        <v>14</v>
      </c>
      <c r="BV48" s="26">
        <f t="shared" si="133"/>
        <v>14</v>
      </c>
      <c r="BW48" s="26">
        <f t="shared" si="133"/>
        <v>14</v>
      </c>
      <c r="BX48" s="26">
        <f t="shared" si="133"/>
        <v>14</v>
      </c>
      <c r="BY48" s="26">
        <f t="shared" si="133"/>
        <v>14</v>
      </c>
      <c r="BZ48" s="26">
        <f t="shared" si="133"/>
        <v>14</v>
      </c>
      <c r="CA48" s="26">
        <f t="shared" si="133"/>
        <v>14</v>
      </c>
      <c r="CB48" s="6">
        <f t="shared" si="88"/>
        <v>168</v>
      </c>
      <c r="CC48" s="26">
        <f>192/12</f>
        <v>16</v>
      </c>
      <c r="CD48" s="26">
        <f t="shared" ref="CD48:CN48" si="134">192/12</f>
        <v>16</v>
      </c>
      <c r="CE48" s="26">
        <f t="shared" si="134"/>
        <v>16</v>
      </c>
      <c r="CF48" s="26">
        <f t="shared" si="134"/>
        <v>16</v>
      </c>
      <c r="CG48" s="26">
        <f t="shared" si="134"/>
        <v>16</v>
      </c>
      <c r="CH48" s="26">
        <f t="shared" si="134"/>
        <v>16</v>
      </c>
      <c r="CI48" s="26">
        <f t="shared" si="134"/>
        <v>16</v>
      </c>
      <c r="CJ48" s="26">
        <f t="shared" si="134"/>
        <v>16</v>
      </c>
      <c r="CK48" s="26">
        <f t="shared" si="134"/>
        <v>16</v>
      </c>
      <c r="CL48" s="26">
        <f t="shared" si="134"/>
        <v>16</v>
      </c>
      <c r="CM48" s="26">
        <f t="shared" si="134"/>
        <v>16</v>
      </c>
      <c r="CN48" s="26">
        <f t="shared" si="134"/>
        <v>16</v>
      </c>
      <c r="CO48" s="9">
        <f t="shared" si="122"/>
        <v>192</v>
      </c>
      <c r="CP48" s="6">
        <f t="shared" si="89"/>
        <v>288</v>
      </c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6">
        <f>SUM(CR48:DB48)</f>
        <v>0</v>
      </c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">
        <f t="shared" si="90"/>
        <v>0</v>
      </c>
      <c r="DQ48" s="26">
        <f t="shared" ref="DQ48:DW48" si="135">0.2*1440/12</f>
        <v>24</v>
      </c>
      <c r="DR48" s="26">
        <f t="shared" si="135"/>
        <v>24</v>
      </c>
      <c r="DS48" s="26">
        <f t="shared" si="135"/>
        <v>24</v>
      </c>
      <c r="DT48" s="26">
        <f t="shared" si="135"/>
        <v>24</v>
      </c>
      <c r="DU48" s="26">
        <f t="shared" si="135"/>
        <v>24</v>
      </c>
      <c r="DV48" s="26">
        <f t="shared" si="135"/>
        <v>24</v>
      </c>
      <c r="DW48" s="26">
        <f t="shared" si="135"/>
        <v>24</v>
      </c>
      <c r="DX48" s="26">
        <f>1440*0.2*(5/12)/5</f>
        <v>24</v>
      </c>
      <c r="DY48" s="26">
        <f>1440*0.2*(5/12)/5</f>
        <v>24</v>
      </c>
      <c r="DZ48" s="26">
        <f>1440*0.2*(5/12)/5</f>
        <v>24</v>
      </c>
      <c r="EA48" s="26">
        <f>1440*0.2*(5/12)/5</f>
        <v>24</v>
      </c>
      <c r="EB48" s="26">
        <f>1440*0.2*(5/12)/5</f>
        <v>24</v>
      </c>
      <c r="EC48" s="2">
        <f t="shared" si="91"/>
        <v>288</v>
      </c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10">
        <f t="shared" si="92"/>
        <v>0</v>
      </c>
    </row>
    <row r="49" spans="1:146" ht="16" x14ac:dyDescent="0.2">
      <c r="A49" s="120" t="e" cm="1">
        <f t="array" ref="A49">_xlfn.XLOOKUP(B49&amp;C49,#REF! &amp;#REF!,#REF!)</f>
        <v>#REF!</v>
      </c>
      <c r="B49" s="18" t="s">
        <v>201</v>
      </c>
      <c r="C49" s="118" t="s">
        <v>202</v>
      </c>
      <c r="D49" s="23"/>
      <c r="E49" s="23" t="s">
        <v>57</v>
      </c>
      <c r="F49" s="28"/>
      <c r="G49" s="26">
        <v>1</v>
      </c>
      <c r="H49" s="26">
        <v>1</v>
      </c>
      <c r="I49" s="3">
        <f t="shared" si="77"/>
        <v>0</v>
      </c>
      <c r="J49" s="3">
        <f t="shared" si="78"/>
        <v>0.1388888888888889</v>
      </c>
      <c r="K49" s="3">
        <f t="shared" si="79"/>
        <v>0.86111111111111116</v>
      </c>
      <c r="L49" s="4">
        <v>1440</v>
      </c>
      <c r="M49" s="4">
        <f t="shared" si="80"/>
        <v>1440</v>
      </c>
      <c r="N49" s="5">
        <f t="shared" si="81"/>
        <v>1440</v>
      </c>
      <c r="O49" s="9">
        <f t="shared" si="82"/>
        <v>200</v>
      </c>
      <c r="P49" s="25">
        <f>168/12</f>
        <v>14</v>
      </c>
      <c r="Q49" s="25">
        <f t="shared" ref="Q49:AA49" si="136">168/12</f>
        <v>14</v>
      </c>
      <c r="R49" s="25">
        <f t="shared" si="136"/>
        <v>14</v>
      </c>
      <c r="S49" s="25">
        <f t="shared" si="136"/>
        <v>14</v>
      </c>
      <c r="T49" s="25">
        <f t="shared" si="136"/>
        <v>14</v>
      </c>
      <c r="U49" s="25">
        <f t="shared" si="136"/>
        <v>14</v>
      </c>
      <c r="V49" s="25">
        <f t="shared" si="136"/>
        <v>14</v>
      </c>
      <c r="W49" s="25">
        <f t="shared" si="136"/>
        <v>14</v>
      </c>
      <c r="X49" s="25">
        <f t="shared" si="136"/>
        <v>14</v>
      </c>
      <c r="Y49" s="25">
        <f t="shared" si="136"/>
        <v>14</v>
      </c>
      <c r="Z49" s="25">
        <f t="shared" si="136"/>
        <v>14</v>
      </c>
      <c r="AA49" s="25">
        <f t="shared" si="136"/>
        <v>14</v>
      </c>
      <c r="AB49" s="9">
        <f t="shared" si="84"/>
        <v>168</v>
      </c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9">
        <f t="shared" si="85"/>
        <v>0</v>
      </c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6">
        <f t="shared" si="86"/>
        <v>0</v>
      </c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6">
        <f t="shared" si="87"/>
        <v>0</v>
      </c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6">
        <f t="shared" si="88"/>
        <v>0</v>
      </c>
      <c r="CC49" s="26">
        <f>32/12</f>
        <v>2.6666666666666665</v>
      </c>
      <c r="CD49" s="26">
        <f t="shared" ref="CD49:CN49" si="137">32/12</f>
        <v>2.6666666666666665</v>
      </c>
      <c r="CE49" s="26">
        <f t="shared" si="137"/>
        <v>2.6666666666666665</v>
      </c>
      <c r="CF49" s="26">
        <f t="shared" si="137"/>
        <v>2.6666666666666665</v>
      </c>
      <c r="CG49" s="26">
        <f t="shared" si="137"/>
        <v>2.6666666666666665</v>
      </c>
      <c r="CH49" s="26">
        <f t="shared" si="137"/>
        <v>2.6666666666666665</v>
      </c>
      <c r="CI49" s="26">
        <f t="shared" si="137"/>
        <v>2.6666666666666665</v>
      </c>
      <c r="CJ49" s="26">
        <f t="shared" si="137"/>
        <v>2.6666666666666665</v>
      </c>
      <c r="CK49" s="26">
        <f t="shared" si="137"/>
        <v>2.6666666666666665</v>
      </c>
      <c r="CL49" s="26">
        <f t="shared" si="137"/>
        <v>2.6666666666666665</v>
      </c>
      <c r="CM49" s="26">
        <f t="shared" si="137"/>
        <v>2.6666666666666665</v>
      </c>
      <c r="CN49" s="26">
        <f t="shared" si="137"/>
        <v>2.6666666666666665</v>
      </c>
      <c r="CO49" s="9">
        <f t="shared" si="122"/>
        <v>32</v>
      </c>
      <c r="CP49" s="6">
        <f t="shared" si="89"/>
        <v>1240</v>
      </c>
      <c r="CQ49" s="26">
        <f t="shared" ref="CQ49:DB49" si="138">520/12</f>
        <v>43.333333333333336</v>
      </c>
      <c r="CR49" s="26">
        <f t="shared" si="138"/>
        <v>43.333333333333336</v>
      </c>
      <c r="CS49" s="26">
        <f t="shared" si="138"/>
        <v>43.333333333333336</v>
      </c>
      <c r="CT49" s="26">
        <f t="shared" si="138"/>
        <v>43.333333333333336</v>
      </c>
      <c r="CU49" s="26">
        <f t="shared" si="138"/>
        <v>43.333333333333336</v>
      </c>
      <c r="CV49" s="26">
        <f t="shared" si="138"/>
        <v>43.333333333333336</v>
      </c>
      <c r="CW49" s="26">
        <f t="shared" si="138"/>
        <v>43.333333333333336</v>
      </c>
      <c r="CX49" s="26">
        <f t="shared" si="138"/>
        <v>43.333333333333336</v>
      </c>
      <c r="CY49" s="26">
        <f t="shared" si="138"/>
        <v>43.333333333333336</v>
      </c>
      <c r="CZ49" s="26">
        <f t="shared" si="138"/>
        <v>43.333333333333336</v>
      </c>
      <c r="DA49" s="26">
        <f t="shared" si="138"/>
        <v>43.333333333333336</v>
      </c>
      <c r="DB49" s="26">
        <f t="shared" si="138"/>
        <v>43.333333333333336</v>
      </c>
      <c r="DC49" s="6">
        <f t="shared" ref="DC49:DC70" si="139">SUM(CQ49:DB49)</f>
        <v>519.99999999999989</v>
      </c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">
        <f t="shared" si="90"/>
        <v>0</v>
      </c>
      <c r="DQ49" s="26">
        <f t="shared" ref="DQ49:EB49" si="140">720/12</f>
        <v>60</v>
      </c>
      <c r="DR49" s="26">
        <f t="shared" si="140"/>
        <v>60</v>
      </c>
      <c r="DS49" s="26">
        <f t="shared" si="140"/>
        <v>60</v>
      </c>
      <c r="DT49" s="26">
        <f t="shared" si="140"/>
        <v>60</v>
      </c>
      <c r="DU49" s="26">
        <f t="shared" si="140"/>
        <v>60</v>
      </c>
      <c r="DV49" s="26">
        <f t="shared" si="140"/>
        <v>60</v>
      </c>
      <c r="DW49" s="26">
        <f t="shared" si="140"/>
        <v>60</v>
      </c>
      <c r="DX49" s="26">
        <f t="shared" si="140"/>
        <v>60</v>
      </c>
      <c r="DY49" s="26">
        <f t="shared" si="140"/>
        <v>60</v>
      </c>
      <c r="DZ49" s="26">
        <f t="shared" si="140"/>
        <v>60</v>
      </c>
      <c r="EA49" s="26">
        <f t="shared" si="140"/>
        <v>60</v>
      </c>
      <c r="EB49" s="26">
        <f t="shared" si="140"/>
        <v>60</v>
      </c>
      <c r="EC49" s="2">
        <f t="shared" si="91"/>
        <v>720</v>
      </c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10">
        <f t="shared" si="92"/>
        <v>0</v>
      </c>
    </row>
    <row r="50" spans="1:146" ht="16" x14ac:dyDescent="0.2">
      <c r="A50" s="120" t="e" cm="1">
        <f t="array" ref="A50">_xlfn.XLOOKUP(B50&amp;C50,#REF! &amp;#REF!,#REF!)</f>
        <v>#REF!</v>
      </c>
      <c r="B50" s="32" t="s">
        <v>203</v>
      </c>
      <c r="C50" s="32" t="s">
        <v>204</v>
      </c>
      <c r="D50" s="33" t="s">
        <v>205</v>
      </c>
      <c r="F50" s="116" t="s">
        <v>206</v>
      </c>
      <c r="G50" s="29">
        <v>0.45</v>
      </c>
      <c r="H50" s="29">
        <v>0.1</v>
      </c>
      <c r="I50" s="3">
        <f t="shared" si="77"/>
        <v>0.35</v>
      </c>
      <c r="J50" s="3">
        <f t="shared" ref="J50" si="141">+O50/M50*H50</f>
        <v>0.1</v>
      </c>
      <c r="K50" s="3">
        <f t="shared" ref="K50" si="142">+CP50/M50*H50</f>
        <v>0</v>
      </c>
      <c r="L50" s="4">
        <v>1440</v>
      </c>
      <c r="M50" s="4">
        <f t="shared" ref="M50" si="143">+H50*L50</f>
        <v>144</v>
      </c>
      <c r="N50" s="5">
        <f t="shared" si="81"/>
        <v>144</v>
      </c>
      <c r="O50" s="9">
        <f t="shared" si="82"/>
        <v>144</v>
      </c>
      <c r="AB50" s="9">
        <f t="shared" si="84"/>
        <v>0</v>
      </c>
      <c r="AI50" s="29">
        <f>288/12</f>
        <v>24</v>
      </c>
      <c r="AJ50" s="29">
        <f t="shared" ref="AJ50:AN50" si="144">288/12</f>
        <v>24</v>
      </c>
      <c r="AK50" s="29">
        <f t="shared" si="144"/>
        <v>24</v>
      </c>
      <c r="AL50" s="29">
        <f t="shared" si="144"/>
        <v>24</v>
      </c>
      <c r="AM50" s="29">
        <f t="shared" si="144"/>
        <v>24</v>
      </c>
      <c r="AN50" s="29">
        <f t="shared" si="144"/>
        <v>24</v>
      </c>
      <c r="AO50" s="9">
        <f t="shared" si="85"/>
        <v>144</v>
      </c>
      <c r="BB50" s="6">
        <f t="shared" si="86"/>
        <v>0</v>
      </c>
      <c r="BO50" s="6">
        <f t="shared" si="87"/>
        <v>0</v>
      </c>
      <c r="CB50" s="6">
        <f t="shared" si="88"/>
        <v>0</v>
      </c>
      <c r="CO50" s="9">
        <f t="shared" si="122"/>
        <v>0</v>
      </c>
      <c r="CP50" s="6">
        <f t="shared" si="89"/>
        <v>0</v>
      </c>
      <c r="DC50" s="6">
        <f t="shared" si="139"/>
        <v>0</v>
      </c>
      <c r="DP50" s="2">
        <f t="shared" si="90"/>
        <v>0</v>
      </c>
      <c r="EC50" s="2">
        <f t="shared" si="91"/>
        <v>0</v>
      </c>
      <c r="EP50" s="2">
        <f t="shared" si="92"/>
        <v>0</v>
      </c>
    </row>
    <row r="51" spans="1:146" ht="16" x14ac:dyDescent="0.2">
      <c r="A51" s="120" t="e" cm="1">
        <f t="array" ref="A51">_xlfn.XLOOKUP(B51&amp;C51,#REF! &amp;#REF!,#REF!)</f>
        <v>#REF!</v>
      </c>
      <c r="B51" s="18" t="s">
        <v>207</v>
      </c>
      <c r="C51" s="117" t="s">
        <v>208</v>
      </c>
      <c r="D51" s="23" t="s">
        <v>209</v>
      </c>
      <c r="E51" s="23"/>
      <c r="F51" s="21" t="s">
        <v>210</v>
      </c>
      <c r="G51" s="26">
        <v>1</v>
      </c>
      <c r="H51" s="26">
        <v>0.75</v>
      </c>
      <c r="I51" s="3">
        <f t="shared" si="77"/>
        <v>0.25</v>
      </c>
      <c r="J51" s="3">
        <f t="shared" si="78"/>
        <v>0.75</v>
      </c>
      <c r="K51" s="3">
        <f t="shared" si="79"/>
        <v>0</v>
      </c>
      <c r="L51" s="4">
        <v>1440</v>
      </c>
      <c r="M51" s="4">
        <f t="shared" si="80"/>
        <v>1080</v>
      </c>
      <c r="N51" s="5">
        <f t="shared" si="81"/>
        <v>1080</v>
      </c>
      <c r="O51" s="9">
        <f t="shared" si="82"/>
        <v>1080</v>
      </c>
      <c r="P51" s="25">
        <f>552/12</f>
        <v>46</v>
      </c>
      <c r="Q51" s="25">
        <f t="shared" ref="Q51:AA51" si="145">552/12</f>
        <v>46</v>
      </c>
      <c r="R51" s="25">
        <f t="shared" si="145"/>
        <v>46</v>
      </c>
      <c r="S51" s="25">
        <f t="shared" si="145"/>
        <v>46</v>
      </c>
      <c r="T51" s="25">
        <f t="shared" si="145"/>
        <v>46</v>
      </c>
      <c r="U51" s="25">
        <f t="shared" si="145"/>
        <v>46</v>
      </c>
      <c r="V51" s="25">
        <f t="shared" si="145"/>
        <v>46</v>
      </c>
      <c r="W51" s="25">
        <f t="shared" si="145"/>
        <v>46</v>
      </c>
      <c r="X51" s="25">
        <f t="shared" si="145"/>
        <v>46</v>
      </c>
      <c r="Y51" s="25">
        <f t="shared" si="145"/>
        <v>46</v>
      </c>
      <c r="Z51" s="25">
        <f t="shared" si="145"/>
        <v>46</v>
      </c>
      <c r="AA51" s="25">
        <f t="shared" si="145"/>
        <v>46</v>
      </c>
      <c r="AB51" s="9">
        <f t="shared" si="84"/>
        <v>552</v>
      </c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9">
        <f t="shared" si="85"/>
        <v>0</v>
      </c>
      <c r="AP51" s="26">
        <f>0.25*1440/12</f>
        <v>30</v>
      </c>
      <c r="AQ51" s="26">
        <f t="shared" ref="AQ51:BA51" si="146">0.25*1440/12</f>
        <v>30</v>
      </c>
      <c r="AR51" s="26">
        <f t="shared" si="146"/>
        <v>30</v>
      </c>
      <c r="AS51" s="26">
        <f t="shared" si="146"/>
        <v>30</v>
      </c>
      <c r="AT51" s="26">
        <f t="shared" si="146"/>
        <v>30</v>
      </c>
      <c r="AU51" s="26">
        <f t="shared" si="146"/>
        <v>30</v>
      </c>
      <c r="AV51" s="26">
        <f t="shared" si="146"/>
        <v>30</v>
      </c>
      <c r="AW51" s="26">
        <f t="shared" si="146"/>
        <v>30</v>
      </c>
      <c r="AX51" s="26">
        <f t="shared" si="146"/>
        <v>30</v>
      </c>
      <c r="AY51" s="26">
        <f t="shared" si="146"/>
        <v>30</v>
      </c>
      <c r="AZ51" s="26">
        <f t="shared" si="146"/>
        <v>30</v>
      </c>
      <c r="BA51" s="26">
        <f t="shared" si="146"/>
        <v>30</v>
      </c>
      <c r="BB51" s="6">
        <f t="shared" si="86"/>
        <v>360</v>
      </c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6">
        <f t="shared" si="87"/>
        <v>0</v>
      </c>
      <c r="BP51" s="26">
        <f>168/12</f>
        <v>14</v>
      </c>
      <c r="BQ51" s="26">
        <f t="shared" ref="BQ51:CA51" si="147">168/12</f>
        <v>14</v>
      </c>
      <c r="BR51" s="26">
        <f t="shared" si="147"/>
        <v>14</v>
      </c>
      <c r="BS51" s="26">
        <f t="shared" si="147"/>
        <v>14</v>
      </c>
      <c r="BT51" s="26">
        <f t="shared" si="147"/>
        <v>14</v>
      </c>
      <c r="BU51" s="26">
        <f t="shared" si="147"/>
        <v>14</v>
      </c>
      <c r="BV51" s="26">
        <f t="shared" si="147"/>
        <v>14</v>
      </c>
      <c r="BW51" s="26">
        <f t="shared" si="147"/>
        <v>14</v>
      </c>
      <c r="BX51" s="26">
        <f t="shared" si="147"/>
        <v>14</v>
      </c>
      <c r="BY51" s="26">
        <f t="shared" si="147"/>
        <v>14</v>
      </c>
      <c r="BZ51" s="26">
        <f t="shared" si="147"/>
        <v>14</v>
      </c>
      <c r="CA51" s="26">
        <f t="shared" si="147"/>
        <v>14</v>
      </c>
      <c r="CB51" s="6">
        <f t="shared" si="88"/>
        <v>168</v>
      </c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9">
        <f t="shared" si="122"/>
        <v>0</v>
      </c>
      <c r="CP51" s="6">
        <f t="shared" si="89"/>
        <v>0</v>
      </c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6">
        <f t="shared" si="139"/>
        <v>0</v>
      </c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">
        <f t="shared" si="90"/>
        <v>0</v>
      </c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">
        <f t="shared" si="91"/>
        <v>0</v>
      </c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10">
        <f t="shared" si="92"/>
        <v>0</v>
      </c>
    </row>
    <row r="52" spans="1:146" ht="16" x14ac:dyDescent="0.2">
      <c r="A52" s="120" t="e" cm="1">
        <f t="array" ref="A52">_xlfn.XLOOKUP(B52&amp;C52,#REF! &amp;#REF!,#REF!)</f>
        <v>#REF!</v>
      </c>
      <c r="B52" s="18" t="s">
        <v>211</v>
      </c>
      <c r="C52" s="118" t="s">
        <v>82</v>
      </c>
      <c r="D52" s="23" t="s">
        <v>212</v>
      </c>
      <c r="E52" s="23" t="s">
        <v>43</v>
      </c>
      <c r="F52" s="21"/>
      <c r="G52" s="26">
        <v>1</v>
      </c>
      <c r="H52" s="26">
        <v>1</v>
      </c>
      <c r="I52" s="3">
        <f t="shared" si="77"/>
        <v>0</v>
      </c>
      <c r="J52" s="3">
        <f t="shared" si="78"/>
        <v>0.82916666666666672</v>
      </c>
      <c r="K52" s="3">
        <f t="shared" si="79"/>
        <v>0.17083333333333334</v>
      </c>
      <c r="L52" s="4">
        <v>1440</v>
      </c>
      <c r="M52" s="4">
        <f t="shared" si="80"/>
        <v>1440</v>
      </c>
      <c r="N52" s="5">
        <f t="shared" si="81"/>
        <v>1440</v>
      </c>
      <c r="O52" s="9">
        <f t="shared" si="82"/>
        <v>1194</v>
      </c>
      <c r="P52" s="25">
        <f>(1440-332-150-96+2)/12</f>
        <v>72</v>
      </c>
      <c r="Q52" s="25">
        <f t="shared" ref="Q52:AA52" si="148">(1440-332-150-96+2)/12</f>
        <v>72</v>
      </c>
      <c r="R52" s="25">
        <f t="shared" si="148"/>
        <v>72</v>
      </c>
      <c r="S52" s="25">
        <f t="shared" si="148"/>
        <v>72</v>
      </c>
      <c r="T52" s="25">
        <f t="shared" si="148"/>
        <v>72</v>
      </c>
      <c r="U52" s="25">
        <f t="shared" si="148"/>
        <v>72</v>
      </c>
      <c r="V52" s="25">
        <f t="shared" si="148"/>
        <v>72</v>
      </c>
      <c r="W52" s="25">
        <f t="shared" si="148"/>
        <v>72</v>
      </c>
      <c r="X52" s="25">
        <f t="shared" si="148"/>
        <v>72</v>
      </c>
      <c r="Y52" s="25">
        <f t="shared" si="148"/>
        <v>72</v>
      </c>
      <c r="Z52" s="25">
        <f t="shared" si="148"/>
        <v>72</v>
      </c>
      <c r="AA52" s="25">
        <f t="shared" si="148"/>
        <v>72</v>
      </c>
      <c r="AB52" s="9">
        <f t="shared" si="84"/>
        <v>864</v>
      </c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9">
        <f t="shared" si="85"/>
        <v>0</v>
      </c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6">
        <f t="shared" si="86"/>
        <v>0</v>
      </c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6">
        <f t="shared" si="87"/>
        <v>0</v>
      </c>
      <c r="BP52" s="26">
        <f>330/12</f>
        <v>27.5</v>
      </c>
      <c r="BQ52" s="26">
        <f t="shared" ref="BQ52:CA52" si="149">330/12</f>
        <v>27.5</v>
      </c>
      <c r="BR52" s="26">
        <f t="shared" si="149"/>
        <v>27.5</v>
      </c>
      <c r="BS52" s="26">
        <f t="shared" si="149"/>
        <v>27.5</v>
      </c>
      <c r="BT52" s="26">
        <f t="shared" si="149"/>
        <v>27.5</v>
      </c>
      <c r="BU52" s="26">
        <f t="shared" si="149"/>
        <v>27.5</v>
      </c>
      <c r="BV52" s="26">
        <f t="shared" si="149"/>
        <v>27.5</v>
      </c>
      <c r="BW52" s="26">
        <f t="shared" si="149"/>
        <v>27.5</v>
      </c>
      <c r="BX52" s="26">
        <f t="shared" si="149"/>
        <v>27.5</v>
      </c>
      <c r="BY52" s="26">
        <f t="shared" si="149"/>
        <v>27.5</v>
      </c>
      <c r="BZ52" s="26">
        <f t="shared" si="149"/>
        <v>27.5</v>
      </c>
      <c r="CA52" s="26">
        <f t="shared" si="149"/>
        <v>27.5</v>
      </c>
      <c r="CB52" s="6">
        <f t="shared" si="88"/>
        <v>330</v>
      </c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9">
        <f t="shared" si="122"/>
        <v>0</v>
      </c>
      <c r="CP52" s="6">
        <f t="shared" si="89"/>
        <v>246</v>
      </c>
      <c r="CQ52" s="26">
        <f>150/12</f>
        <v>12.5</v>
      </c>
      <c r="CR52" s="26">
        <f t="shared" ref="CR52:DB52" si="150">150/12</f>
        <v>12.5</v>
      </c>
      <c r="CS52" s="26">
        <f t="shared" si="150"/>
        <v>12.5</v>
      </c>
      <c r="CT52" s="26">
        <f t="shared" si="150"/>
        <v>12.5</v>
      </c>
      <c r="CU52" s="26">
        <f t="shared" si="150"/>
        <v>12.5</v>
      </c>
      <c r="CV52" s="26">
        <f t="shared" si="150"/>
        <v>12.5</v>
      </c>
      <c r="CW52" s="26">
        <f t="shared" si="150"/>
        <v>12.5</v>
      </c>
      <c r="CX52" s="26">
        <f t="shared" si="150"/>
        <v>12.5</v>
      </c>
      <c r="CY52" s="26">
        <f t="shared" si="150"/>
        <v>12.5</v>
      </c>
      <c r="CZ52" s="26">
        <f t="shared" si="150"/>
        <v>12.5</v>
      </c>
      <c r="DA52" s="26">
        <f t="shared" si="150"/>
        <v>12.5</v>
      </c>
      <c r="DB52" s="26">
        <f t="shared" si="150"/>
        <v>12.5</v>
      </c>
      <c r="DC52" s="6">
        <f t="shared" si="139"/>
        <v>150</v>
      </c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">
        <f t="shared" si="90"/>
        <v>0</v>
      </c>
      <c r="DQ52" s="26">
        <f t="shared" ref="DQ52:EB52" si="151">96/12</f>
        <v>8</v>
      </c>
      <c r="DR52" s="26">
        <f t="shared" si="151"/>
        <v>8</v>
      </c>
      <c r="DS52" s="26">
        <f t="shared" si="151"/>
        <v>8</v>
      </c>
      <c r="DT52" s="26">
        <f t="shared" si="151"/>
        <v>8</v>
      </c>
      <c r="DU52" s="26">
        <f t="shared" si="151"/>
        <v>8</v>
      </c>
      <c r="DV52" s="26">
        <f t="shared" si="151"/>
        <v>8</v>
      </c>
      <c r="DW52" s="26">
        <f t="shared" si="151"/>
        <v>8</v>
      </c>
      <c r="DX52" s="26">
        <f t="shared" si="151"/>
        <v>8</v>
      </c>
      <c r="DY52" s="26">
        <f t="shared" si="151"/>
        <v>8</v>
      </c>
      <c r="DZ52" s="26">
        <f t="shared" si="151"/>
        <v>8</v>
      </c>
      <c r="EA52" s="26">
        <f t="shared" si="151"/>
        <v>8</v>
      </c>
      <c r="EB52" s="26">
        <f t="shared" si="151"/>
        <v>8</v>
      </c>
      <c r="EC52" s="2">
        <f t="shared" si="91"/>
        <v>96</v>
      </c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10">
        <f t="shared" si="92"/>
        <v>0</v>
      </c>
    </row>
    <row r="53" spans="1:146" ht="16" x14ac:dyDescent="0.2">
      <c r="A53" s="120" t="e" cm="1">
        <f t="array" ref="A53">_xlfn.XLOOKUP(B53&amp;C53,#REF! &amp;#REF!,#REF!)</f>
        <v>#REF!</v>
      </c>
      <c r="B53" s="18" t="s">
        <v>213</v>
      </c>
      <c r="C53" s="117" t="s">
        <v>151</v>
      </c>
      <c r="D53" s="23" t="s">
        <v>214</v>
      </c>
      <c r="E53" s="23"/>
      <c r="F53" s="21"/>
      <c r="G53" s="26">
        <v>1</v>
      </c>
      <c r="H53" s="26">
        <v>1</v>
      </c>
      <c r="I53" s="3">
        <f t="shared" si="77"/>
        <v>0</v>
      </c>
      <c r="J53" s="3">
        <f t="shared" si="78"/>
        <v>0.8</v>
      </c>
      <c r="K53" s="3">
        <f t="shared" si="79"/>
        <v>0.2</v>
      </c>
      <c r="L53" s="4">
        <v>1440</v>
      </c>
      <c r="M53" s="4">
        <f t="shared" si="80"/>
        <v>1440</v>
      </c>
      <c r="N53" s="5">
        <f t="shared" si="81"/>
        <v>1440</v>
      </c>
      <c r="O53" s="9">
        <f t="shared" si="82"/>
        <v>1152</v>
      </c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9">
        <f t="shared" si="84"/>
        <v>0</v>
      </c>
      <c r="AC53" s="26">
        <f t="shared" ref="AC53:AN53" si="152">0.8*1440/12</f>
        <v>96</v>
      </c>
      <c r="AD53" s="26">
        <f t="shared" si="152"/>
        <v>96</v>
      </c>
      <c r="AE53" s="26">
        <f t="shared" si="152"/>
        <v>96</v>
      </c>
      <c r="AF53" s="26">
        <f t="shared" si="152"/>
        <v>96</v>
      </c>
      <c r="AG53" s="26">
        <f t="shared" si="152"/>
        <v>96</v>
      </c>
      <c r="AH53" s="26">
        <f t="shared" si="152"/>
        <v>96</v>
      </c>
      <c r="AI53" s="26">
        <f t="shared" si="152"/>
        <v>96</v>
      </c>
      <c r="AJ53" s="26">
        <f t="shared" si="152"/>
        <v>96</v>
      </c>
      <c r="AK53" s="26">
        <f t="shared" si="152"/>
        <v>96</v>
      </c>
      <c r="AL53" s="26">
        <f t="shared" si="152"/>
        <v>96</v>
      </c>
      <c r="AM53" s="26">
        <f t="shared" si="152"/>
        <v>96</v>
      </c>
      <c r="AN53" s="26">
        <f t="shared" si="152"/>
        <v>96</v>
      </c>
      <c r="AO53" s="9">
        <f t="shared" si="85"/>
        <v>1152</v>
      </c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6">
        <f t="shared" si="86"/>
        <v>0</v>
      </c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6">
        <f t="shared" si="87"/>
        <v>0</v>
      </c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6">
        <f t="shared" si="88"/>
        <v>0</v>
      </c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9">
        <f t="shared" si="122"/>
        <v>0</v>
      </c>
      <c r="CP53" s="6">
        <f t="shared" si="89"/>
        <v>288</v>
      </c>
      <c r="CQ53" s="26">
        <f t="shared" ref="CQ53:DB53" si="153">0.2*1440/12</f>
        <v>24</v>
      </c>
      <c r="CR53" s="26">
        <f t="shared" si="153"/>
        <v>24</v>
      </c>
      <c r="CS53" s="26">
        <f t="shared" si="153"/>
        <v>24</v>
      </c>
      <c r="CT53" s="26">
        <f t="shared" si="153"/>
        <v>24</v>
      </c>
      <c r="CU53" s="26">
        <f t="shared" si="153"/>
        <v>24</v>
      </c>
      <c r="CV53" s="26">
        <f t="shared" si="153"/>
        <v>24</v>
      </c>
      <c r="CW53" s="26">
        <f t="shared" si="153"/>
        <v>24</v>
      </c>
      <c r="CX53" s="26">
        <f t="shared" si="153"/>
        <v>24</v>
      </c>
      <c r="CY53" s="26">
        <f t="shared" si="153"/>
        <v>24</v>
      </c>
      <c r="CZ53" s="26">
        <f t="shared" si="153"/>
        <v>24</v>
      </c>
      <c r="DA53" s="26">
        <f t="shared" si="153"/>
        <v>24</v>
      </c>
      <c r="DB53" s="26">
        <f t="shared" si="153"/>
        <v>24</v>
      </c>
      <c r="DC53" s="6">
        <f t="shared" si="139"/>
        <v>288</v>
      </c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">
        <f t="shared" si="90"/>
        <v>0</v>
      </c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">
        <f t="shared" si="91"/>
        <v>0</v>
      </c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10">
        <f t="shared" si="92"/>
        <v>0</v>
      </c>
    </row>
    <row r="54" spans="1:146" ht="16" x14ac:dyDescent="0.2">
      <c r="A54" s="120" t="e" cm="1">
        <f t="array" ref="A54">_xlfn.XLOOKUP(B54&amp;C54,#REF! &amp;#REF!,#REF!)</f>
        <v>#REF!</v>
      </c>
      <c r="B54" s="18" t="s">
        <v>215</v>
      </c>
      <c r="C54" s="118" t="s">
        <v>216</v>
      </c>
      <c r="D54" s="23" t="s">
        <v>217</v>
      </c>
      <c r="E54" s="23"/>
      <c r="F54" s="28" t="s">
        <v>218</v>
      </c>
      <c r="G54" s="26">
        <v>1</v>
      </c>
      <c r="H54" s="26">
        <v>1</v>
      </c>
      <c r="I54" s="3">
        <f t="shared" si="77"/>
        <v>0</v>
      </c>
      <c r="J54" s="3">
        <f t="shared" si="78"/>
        <v>0.93333333333333335</v>
      </c>
      <c r="K54" s="3">
        <f t="shared" si="79"/>
        <v>6.6666666666666666E-2</v>
      </c>
      <c r="L54" s="4">
        <v>1440</v>
      </c>
      <c r="M54" s="4">
        <f t="shared" si="80"/>
        <v>1440</v>
      </c>
      <c r="N54" s="5">
        <f t="shared" si="81"/>
        <v>1440</v>
      </c>
      <c r="O54" s="9">
        <f t="shared" si="82"/>
        <v>1344</v>
      </c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9">
        <f t="shared" si="84"/>
        <v>0</v>
      </c>
      <c r="AC54" s="26">
        <f t="shared" ref="AC54:AN54" si="154">1344/12</f>
        <v>112</v>
      </c>
      <c r="AD54" s="26">
        <f t="shared" si="154"/>
        <v>112</v>
      </c>
      <c r="AE54" s="26">
        <f t="shared" si="154"/>
        <v>112</v>
      </c>
      <c r="AF54" s="26">
        <f t="shared" si="154"/>
        <v>112</v>
      </c>
      <c r="AG54" s="26">
        <f t="shared" si="154"/>
        <v>112</v>
      </c>
      <c r="AH54" s="26">
        <f t="shared" si="154"/>
        <v>112</v>
      </c>
      <c r="AI54" s="26">
        <f t="shared" si="154"/>
        <v>112</v>
      </c>
      <c r="AJ54" s="26">
        <f t="shared" si="154"/>
        <v>112</v>
      </c>
      <c r="AK54" s="26">
        <f t="shared" si="154"/>
        <v>112</v>
      </c>
      <c r="AL54" s="26">
        <f t="shared" si="154"/>
        <v>112</v>
      </c>
      <c r="AM54" s="26">
        <f t="shared" si="154"/>
        <v>112</v>
      </c>
      <c r="AN54" s="26">
        <f t="shared" si="154"/>
        <v>112</v>
      </c>
      <c r="AO54" s="9">
        <f t="shared" si="85"/>
        <v>1344</v>
      </c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6">
        <f t="shared" si="86"/>
        <v>0</v>
      </c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6">
        <f t="shared" si="87"/>
        <v>0</v>
      </c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6">
        <f t="shared" si="88"/>
        <v>0</v>
      </c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9">
        <f t="shared" si="122"/>
        <v>0</v>
      </c>
      <c r="CP54" s="6">
        <f t="shared" si="89"/>
        <v>96</v>
      </c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6">
        <f t="shared" si="139"/>
        <v>0</v>
      </c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">
        <f t="shared" si="90"/>
        <v>0</v>
      </c>
      <c r="DQ54" s="26">
        <f t="shared" ref="DQ54:EB55" si="155">96/12</f>
        <v>8</v>
      </c>
      <c r="DR54" s="26">
        <f t="shared" si="155"/>
        <v>8</v>
      </c>
      <c r="DS54" s="26">
        <f t="shared" si="155"/>
        <v>8</v>
      </c>
      <c r="DT54" s="26">
        <f t="shared" si="155"/>
        <v>8</v>
      </c>
      <c r="DU54" s="26">
        <f t="shared" si="155"/>
        <v>8</v>
      </c>
      <c r="DV54" s="26">
        <f t="shared" si="155"/>
        <v>8</v>
      </c>
      <c r="DW54" s="26">
        <f t="shared" si="155"/>
        <v>8</v>
      </c>
      <c r="DX54" s="26">
        <f t="shared" si="155"/>
        <v>8</v>
      </c>
      <c r="DY54" s="26">
        <f t="shared" si="155"/>
        <v>8</v>
      </c>
      <c r="DZ54" s="26">
        <f t="shared" si="155"/>
        <v>8</v>
      </c>
      <c r="EA54" s="26">
        <f t="shared" si="155"/>
        <v>8</v>
      </c>
      <c r="EB54" s="26">
        <f t="shared" si="155"/>
        <v>8</v>
      </c>
      <c r="EC54" s="2">
        <f t="shared" si="91"/>
        <v>96</v>
      </c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10">
        <f t="shared" si="92"/>
        <v>0</v>
      </c>
    </row>
    <row r="55" spans="1:146" ht="16" x14ac:dyDescent="0.2">
      <c r="A55" s="120" t="e" cm="1">
        <f t="array" ref="A55">_xlfn.XLOOKUP(B55&amp;C55,#REF! &amp;#REF!,#REF!)</f>
        <v>#REF!</v>
      </c>
      <c r="B55" s="18" t="s">
        <v>219</v>
      </c>
      <c r="C55" s="118" t="s">
        <v>157</v>
      </c>
      <c r="D55" s="23" t="s">
        <v>220</v>
      </c>
      <c r="E55" s="23" t="s">
        <v>43</v>
      </c>
      <c r="F55" s="21" t="s">
        <v>221</v>
      </c>
      <c r="G55" s="26">
        <v>1</v>
      </c>
      <c r="H55" s="26">
        <v>1</v>
      </c>
      <c r="I55" s="3">
        <f t="shared" si="77"/>
        <v>0</v>
      </c>
      <c r="J55" s="3">
        <f t="shared" si="78"/>
        <v>0.6253333333333333</v>
      </c>
      <c r="K55" s="3">
        <f t="shared" si="79"/>
        <v>0.37466666666666665</v>
      </c>
      <c r="L55" s="4">
        <v>1440</v>
      </c>
      <c r="M55" s="4">
        <f t="shared" si="80"/>
        <v>1440</v>
      </c>
      <c r="N55" s="5">
        <f t="shared" si="81"/>
        <v>1440</v>
      </c>
      <c r="O55" s="9">
        <f t="shared" si="82"/>
        <v>900.4799999999999</v>
      </c>
      <c r="P55" s="25">
        <f>900.48/12</f>
        <v>75.040000000000006</v>
      </c>
      <c r="Q55" s="25">
        <f t="shared" ref="Q55:AA55" si="156">900.48/12</f>
        <v>75.040000000000006</v>
      </c>
      <c r="R55" s="25">
        <f t="shared" si="156"/>
        <v>75.040000000000006</v>
      </c>
      <c r="S55" s="25">
        <f t="shared" si="156"/>
        <v>75.040000000000006</v>
      </c>
      <c r="T55" s="25">
        <f t="shared" si="156"/>
        <v>75.040000000000006</v>
      </c>
      <c r="U55" s="25">
        <f t="shared" si="156"/>
        <v>75.040000000000006</v>
      </c>
      <c r="V55" s="25">
        <f t="shared" si="156"/>
        <v>75.040000000000006</v>
      </c>
      <c r="W55" s="25">
        <f t="shared" si="156"/>
        <v>75.040000000000006</v>
      </c>
      <c r="X55" s="25">
        <f t="shared" si="156"/>
        <v>75.040000000000006</v>
      </c>
      <c r="Y55" s="25">
        <f t="shared" si="156"/>
        <v>75.040000000000006</v>
      </c>
      <c r="Z55" s="25">
        <f t="shared" si="156"/>
        <v>75.040000000000006</v>
      </c>
      <c r="AA55" s="25">
        <f t="shared" si="156"/>
        <v>75.040000000000006</v>
      </c>
      <c r="AB55" s="9">
        <f t="shared" si="84"/>
        <v>900.4799999999999</v>
      </c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9">
        <f t="shared" si="85"/>
        <v>0</v>
      </c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6">
        <f t="shared" si="86"/>
        <v>0</v>
      </c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6">
        <f t="shared" si="87"/>
        <v>0</v>
      </c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6">
        <f t="shared" si="88"/>
        <v>0</v>
      </c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9">
        <f t="shared" si="122"/>
        <v>0</v>
      </c>
      <c r="CP55" s="6">
        <f t="shared" si="89"/>
        <v>539.52</v>
      </c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6">
        <f t="shared" si="139"/>
        <v>0</v>
      </c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">
        <f t="shared" si="90"/>
        <v>0</v>
      </c>
      <c r="DQ55" s="26">
        <f t="shared" si="155"/>
        <v>8</v>
      </c>
      <c r="DR55" s="26">
        <f t="shared" si="155"/>
        <v>8</v>
      </c>
      <c r="DS55" s="26">
        <f t="shared" si="155"/>
        <v>8</v>
      </c>
      <c r="DT55" s="26">
        <f t="shared" si="155"/>
        <v>8</v>
      </c>
      <c r="DU55" s="26">
        <f t="shared" si="155"/>
        <v>8</v>
      </c>
      <c r="DV55" s="26">
        <f t="shared" si="155"/>
        <v>8</v>
      </c>
      <c r="DW55" s="26">
        <f t="shared" si="155"/>
        <v>8</v>
      </c>
      <c r="DX55" s="26">
        <f t="shared" si="155"/>
        <v>8</v>
      </c>
      <c r="DY55" s="26">
        <f t="shared" si="155"/>
        <v>8</v>
      </c>
      <c r="DZ55" s="26">
        <f t="shared" si="155"/>
        <v>8</v>
      </c>
      <c r="EA55" s="26">
        <f t="shared" si="155"/>
        <v>8</v>
      </c>
      <c r="EB55" s="26">
        <f t="shared" si="155"/>
        <v>8</v>
      </c>
      <c r="EC55" s="2">
        <f t="shared" si="91"/>
        <v>96</v>
      </c>
      <c r="ED55" s="26">
        <f>443.52/12</f>
        <v>36.96</v>
      </c>
      <c r="EE55" s="26">
        <f t="shared" ref="EE55:EO55" si="157">443.52/12</f>
        <v>36.96</v>
      </c>
      <c r="EF55" s="26">
        <f t="shared" si="157"/>
        <v>36.96</v>
      </c>
      <c r="EG55" s="26">
        <f t="shared" si="157"/>
        <v>36.96</v>
      </c>
      <c r="EH55" s="26">
        <f t="shared" si="157"/>
        <v>36.96</v>
      </c>
      <c r="EI55" s="26">
        <f t="shared" si="157"/>
        <v>36.96</v>
      </c>
      <c r="EJ55" s="26">
        <f t="shared" si="157"/>
        <v>36.96</v>
      </c>
      <c r="EK55" s="26">
        <f t="shared" si="157"/>
        <v>36.96</v>
      </c>
      <c r="EL55" s="26">
        <f t="shared" si="157"/>
        <v>36.96</v>
      </c>
      <c r="EM55" s="26">
        <f t="shared" si="157"/>
        <v>36.96</v>
      </c>
      <c r="EN55" s="26">
        <f t="shared" si="157"/>
        <v>36.96</v>
      </c>
      <c r="EO55" s="26">
        <f t="shared" si="157"/>
        <v>36.96</v>
      </c>
      <c r="EP55" s="10">
        <f t="shared" si="92"/>
        <v>443.51999999999992</v>
      </c>
    </row>
    <row r="56" spans="1:146" ht="16" x14ac:dyDescent="0.2">
      <c r="A56" s="120" t="e" cm="1">
        <f t="array" ref="A56">_xlfn.XLOOKUP(B56&amp;C56,#REF! &amp;#REF!,#REF!)</f>
        <v>#REF!</v>
      </c>
      <c r="B56" s="18" t="s">
        <v>222</v>
      </c>
      <c r="C56" s="117" t="s">
        <v>223</v>
      </c>
      <c r="D56" s="23" t="s">
        <v>224</v>
      </c>
      <c r="E56" s="23"/>
      <c r="F56" s="21"/>
      <c r="G56" s="26">
        <v>1</v>
      </c>
      <c r="H56" s="26">
        <v>1</v>
      </c>
      <c r="I56" s="3">
        <f t="shared" si="77"/>
        <v>0</v>
      </c>
      <c r="J56" s="3">
        <f t="shared" si="78"/>
        <v>0.7</v>
      </c>
      <c r="K56" s="3">
        <f t="shared" si="79"/>
        <v>0.3</v>
      </c>
      <c r="L56" s="4">
        <v>1440</v>
      </c>
      <c r="M56" s="4">
        <f t="shared" si="80"/>
        <v>1440</v>
      </c>
      <c r="N56" s="5">
        <f t="shared" si="81"/>
        <v>1440</v>
      </c>
      <c r="O56" s="9">
        <f t="shared" si="82"/>
        <v>1008</v>
      </c>
      <c r="P56" s="25">
        <f>0.4*1440/12</f>
        <v>48</v>
      </c>
      <c r="Q56" s="25">
        <f t="shared" ref="Q56:AA56" si="158">0.4*1440/12</f>
        <v>48</v>
      </c>
      <c r="R56" s="25">
        <f t="shared" si="158"/>
        <v>48</v>
      </c>
      <c r="S56" s="25">
        <f t="shared" si="158"/>
        <v>48</v>
      </c>
      <c r="T56" s="25">
        <f t="shared" si="158"/>
        <v>48</v>
      </c>
      <c r="U56" s="25">
        <f t="shared" si="158"/>
        <v>48</v>
      </c>
      <c r="V56" s="25">
        <f t="shared" si="158"/>
        <v>48</v>
      </c>
      <c r="W56" s="25">
        <f t="shared" si="158"/>
        <v>48</v>
      </c>
      <c r="X56" s="25">
        <f t="shared" si="158"/>
        <v>48</v>
      </c>
      <c r="Y56" s="25">
        <f t="shared" si="158"/>
        <v>48</v>
      </c>
      <c r="Z56" s="25">
        <f t="shared" si="158"/>
        <v>48</v>
      </c>
      <c r="AA56" s="25">
        <f t="shared" si="158"/>
        <v>48</v>
      </c>
      <c r="AB56" s="9">
        <f t="shared" si="84"/>
        <v>576</v>
      </c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9">
        <f t="shared" si="85"/>
        <v>0</v>
      </c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6">
        <f t="shared" si="86"/>
        <v>0</v>
      </c>
      <c r="BC56" s="26">
        <f>0.3*1440/12</f>
        <v>36</v>
      </c>
      <c r="BD56" s="26">
        <f t="shared" ref="BD56:BN56" si="159">0.3*1440/12</f>
        <v>36</v>
      </c>
      <c r="BE56" s="26">
        <f t="shared" si="159"/>
        <v>36</v>
      </c>
      <c r="BF56" s="26">
        <f t="shared" si="159"/>
        <v>36</v>
      </c>
      <c r="BG56" s="26">
        <f t="shared" si="159"/>
        <v>36</v>
      </c>
      <c r="BH56" s="26">
        <f t="shared" si="159"/>
        <v>36</v>
      </c>
      <c r="BI56" s="26">
        <f t="shared" si="159"/>
        <v>36</v>
      </c>
      <c r="BJ56" s="26">
        <f t="shared" si="159"/>
        <v>36</v>
      </c>
      <c r="BK56" s="26">
        <f t="shared" si="159"/>
        <v>36</v>
      </c>
      <c r="BL56" s="26">
        <f t="shared" si="159"/>
        <v>36</v>
      </c>
      <c r="BM56" s="26">
        <f t="shared" si="159"/>
        <v>36</v>
      </c>
      <c r="BN56" s="26">
        <f t="shared" si="159"/>
        <v>36</v>
      </c>
      <c r="BO56" s="6">
        <f t="shared" si="87"/>
        <v>432</v>
      </c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6">
        <f t="shared" si="88"/>
        <v>0</v>
      </c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9">
        <f t="shared" si="122"/>
        <v>0</v>
      </c>
      <c r="CP56" s="6">
        <f t="shared" si="89"/>
        <v>432</v>
      </c>
      <c r="CQ56" s="26">
        <f t="shared" ref="CQ56:DB56" si="160">0.3*1440/12</f>
        <v>36</v>
      </c>
      <c r="CR56" s="26">
        <f t="shared" si="160"/>
        <v>36</v>
      </c>
      <c r="CS56" s="26">
        <f t="shared" si="160"/>
        <v>36</v>
      </c>
      <c r="CT56" s="26">
        <f t="shared" si="160"/>
        <v>36</v>
      </c>
      <c r="CU56" s="26">
        <f t="shared" si="160"/>
        <v>36</v>
      </c>
      <c r="CV56" s="26">
        <f t="shared" si="160"/>
        <v>36</v>
      </c>
      <c r="CW56" s="26">
        <f t="shared" si="160"/>
        <v>36</v>
      </c>
      <c r="CX56" s="26">
        <f t="shared" si="160"/>
        <v>36</v>
      </c>
      <c r="CY56" s="26">
        <f t="shared" si="160"/>
        <v>36</v>
      </c>
      <c r="CZ56" s="26">
        <f t="shared" si="160"/>
        <v>36</v>
      </c>
      <c r="DA56" s="26">
        <f t="shared" si="160"/>
        <v>36</v>
      </c>
      <c r="DB56" s="26">
        <f t="shared" si="160"/>
        <v>36</v>
      </c>
      <c r="DC56" s="6">
        <f t="shared" si="139"/>
        <v>432</v>
      </c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">
        <f t="shared" si="90"/>
        <v>0</v>
      </c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">
        <f t="shared" si="91"/>
        <v>0</v>
      </c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10">
        <f t="shared" si="92"/>
        <v>0</v>
      </c>
    </row>
    <row r="57" spans="1:146" ht="16" x14ac:dyDescent="0.2">
      <c r="A57" s="120" t="e" cm="1">
        <f t="array" ref="A57">_xlfn.XLOOKUP(B57&amp;C57,#REF! &amp;#REF!,#REF!)</f>
        <v>#REF!</v>
      </c>
      <c r="B57" s="18" t="s">
        <v>225</v>
      </c>
      <c r="C57" s="117" t="s">
        <v>226</v>
      </c>
      <c r="D57" s="23" t="s">
        <v>37</v>
      </c>
      <c r="E57" s="23" t="s">
        <v>43</v>
      </c>
      <c r="F57" s="21" t="s">
        <v>227</v>
      </c>
      <c r="G57" s="26">
        <v>1</v>
      </c>
      <c r="H57" s="26">
        <v>1</v>
      </c>
      <c r="I57" s="3">
        <f t="shared" si="77"/>
        <v>0</v>
      </c>
      <c r="J57" s="3">
        <f t="shared" si="78"/>
        <v>0.83083333333333342</v>
      </c>
      <c r="K57" s="3">
        <f t="shared" si="79"/>
        <v>0.16916666666666666</v>
      </c>
      <c r="L57" s="4">
        <v>1440</v>
      </c>
      <c r="M57" s="4">
        <f t="shared" si="80"/>
        <v>1440</v>
      </c>
      <c r="N57" s="5">
        <f t="shared" si="81"/>
        <v>1440</v>
      </c>
      <c r="O57" s="9">
        <f t="shared" si="82"/>
        <v>1196.4000000000001</v>
      </c>
      <c r="P57" s="25">
        <f t="shared" ref="P57:AA57" si="161">0.85*(1440-360-96)/12</f>
        <v>69.7</v>
      </c>
      <c r="Q57" s="25">
        <f t="shared" si="161"/>
        <v>69.7</v>
      </c>
      <c r="R57" s="25">
        <f t="shared" si="161"/>
        <v>69.7</v>
      </c>
      <c r="S57" s="25">
        <f t="shared" si="161"/>
        <v>69.7</v>
      </c>
      <c r="T57" s="25">
        <f t="shared" si="161"/>
        <v>69.7</v>
      </c>
      <c r="U57" s="25">
        <f t="shared" si="161"/>
        <v>69.7</v>
      </c>
      <c r="V57" s="25">
        <f t="shared" si="161"/>
        <v>69.7</v>
      </c>
      <c r="W57" s="25">
        <f t="shared" si="161"/>
        <v>69.7</v>
      </c>
      <c r="X57" s="25">
        <f t="shared" si="161"/>
        <v>69.7</v>
      </c>
      <c r="Y57" s="25">
        <f t="shared" si="161"/>
        <v>69.7</v>
      </c>
      <c r="Z57" s="25">
        <f t="shared" si="161"/>
        <v>69.7</v>
      </c>
      <c r="AA57" s="25">
        <f t="shared" si="161"/>
        <v>69.7</v>
      </c>
      <c r="AB57" s="9">
        <f t="shared" si="84"/>
        <v>836.4000000000002</v>
      </c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9">
        <f t="shared" si="85"/>
        <v>0</v>
      </c>
      <c r="AP57" s="26">
        <f>0.25*1440/12</f>
        <v>30</v>
      </c>
      <c r="AQ57" s="26">
        <f t="shared" ref="AQ57:BA57" si="162">0.25*1440/12</f>
        <v>30</v>
      </c>
      <c r="AR57" s="26">
        <f t="shared" si="162"/>
        <v>30</v>
      </c>
      <c r="AS57" s="26">
        <f t="shared" si="162"/>
        <v>30</v>
      </c>
      <c r="AT57" s="26">
        <f t="shared" si="162"/>
        <v>30</v>
      </c>
      <c r="AU57" s="26">
        <f t="shared" si="162"/>
        <v>30</v>
      </c>
      <c r="AV57" s="26">
        <f t="shared" si="162"/>
        <v>30</v>
      </c>
      <c r="AW57" s="26">
        <f t="shared" si="162"/>
        <v>30</v>
      </c>
      <c r="AX57" s="26">
        <f t="shared" si="162"/>
        <v>30</v>
      </c>
      <c r="AY57" s="26">
        <f t="shared" si="162"/>
        <v>30</v>
      </c>
      <c r="AZ57" s="26">
        <f t="shared" si="162"/>
        <v>30</v>
      </c>
      <c r="BA57" s="26">
        <f t="shared" si="162"/>
        <v>30</v>
      </c>
      <c r="BB57" s="6">
        <f t="shared" si="86"/>
        <v>360</v>
      </c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6">
        <f t="shared" si="87"/>
        <v>0</v>
      </c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6">
        <f t="shared" si="88"/>
        <v>0</v>
      </c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9">
        <f t="shared" si="122"/>
        <v>0</v>
      </c>
      <c r="CP57" s="6">
        <f t="shared" si="89"/>
        <v>243.6</v>
      </c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6">
        <f t="shared" si="139"/>
        <v>0</v>
      </c>
      <c r="DD57" s="27">
        <f t="shared" ref="DD57:DO57" si="163">0.15*(1440-360-96)/12</f>
        <v>12.299999999999999</v>
      </c>
      <c r="DE57" s="27">
        <f t="shared" si="163"/>
        <v>12.299999999999999</v>
      </c>
      <c r="DF57" s="27">
        <f t="shared" si="163"/>
        <v>12.299999999999999</v>
      </c>
      <c r="DG57" s="27">
        <f t="shared" si="163"/>
        <v>12.299999999999999</v>
      </c>
      <c r="DH57" s="27">
        <f t="shared" si="163"/>
        <v>12.299999999999999</v>
      </c>
      <c r="DI57" s="27">
        <f t="shared" si="163"/>
        <v>12.299999999999999</v>
      </c>
      <c r="DJ57" s="27">
        <f t="shared" si="163"/>
        <v>12.299999999999999</v>
      </c>
      <c r="DK57" s="27">
        <f t="shared" si="163"/>
        <v>12.299999999999999</v>
      </c>
      <c r="DL57" s="27">
        <f t="shared" si="163"/>
        <v>12.299999999999999</v>
      </c>
      <c r="DM57" s="27">
        <f t="shared" si="163"/>
        <v>12.299999999999999</v>
      </c>
      <c r="DN57" s="27">
        <f t="shared" si="163"/>
        <v>12.299999999999999</v>
      </c>
      <c r="DO57" s="27">
        <f t="shared" si="163"/>
        <v>12.299999999999999</v>
      </c>
      <c r="DP57" s="2">
        <f t="shared" si="90"/>
        <v>147.6</v>
      </c>
      <c r="DQ57" s="26">
        <f t="shared" ref="DQ57:EB57" si="164">96/12</f>
        <v>8</v>
      </c>
      <c r="DR57" s="26">
        <f t="shared" si="164"/>
        <v>8</v>
      </c>
      <c r="DS57" s="26">
        <f t="shared" si="164"/>
        <v>8</v>
      </c>
      <c r="DT57" s="26">
        <f t="shared" si="164"/>
        <v>8</v>
      </c>
      <c r="DU57" s="26">
        <f t="shared" si="164"/>
        <v>8</v>
      </c>
      <c r="DV57" s="26">
        <f t="shared" si="164"/>
        <v>8</v>
      </c>
      <c r="DW57" s="26">
        <f t="shared" si="164"/>
        <v>8</v>
      </c>
      <c r="DX57" s="26">
        <f t="shared" si="164"/>
        <v>8</v>
      </c>
      <c r="DY57" s="26">
        <f t="shared" si="164"/>
        <v>8</v>
      </c>
      <c r="DZ57" s="26">
        <f t="shared" si="164"/>
        <v>8</v>
      </c>
      <c r="EA57" s="26">
        <f t="shared" si="164"/>
        <v>8</v>
      </c>
      <c r="EB57" s="26">
        <f t="shared" si="164"/>
        <v>8</v>
      </c>
      <c r="EC57" s="2">
        <f t="shared" si="91"/>
        <v>96</v>
      </c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10">
        <f t="shared" si="92"/>
        <v>0</v>
      </c>
    </row>
    <row r="58" spans="1:146" ht="16" x14ac:dyDescent="0.2">
      <c r="A58" s="120" t="e" cm="1">
        <f t="array" ref="A58">_xlfn.XLOOKUP(B58&amp;C58,#REF! &amp;#REF!,#REF!)</f>
        <v>#REF!</v>
      </c>
      <c r="B58" s="18" t="s">
        <v>228</v>
      </c>
      <c r="C58" s="117" t="s">
        <v>229</v>
      </c>
      <c r="D58" s="23" t="s">
        <v>191</v>
      </c>
      <c r="E58" s="23"/>
      <c r="F58" s="113" t="s">
        <v>230</v>
      </c>
      <c r="G58" s="26">
        <v>1</v>
      </c>
      <c r="H58" s="26">
        <v>1</v>
      </c>
      <c r="I58" s="3">
        <f t="shared" si="77"/>
        <v>0</v>
      </c>
      <c r="J58" s="3">
        <f t="shared" si="78"/>
        <v>0.65</v>
      </c>
      <c r="K58" s="3">
        <f t="shared" si="79"/>
        <v>0.35</v>
      </c>
      <c r="L58" s="4">
        <v>1440</v>
      </c>
      <c r="M58" s="4">
        <f t="shared" si="80"/>
        <v>1440</v>
      </c>
      <c r="N58" s="5">
        <f t="shared" si="81"/>
        <v>1440</v>
      </c>
      <c r="O58" s="9">
        <f t="shared" si="82"/>
        <v>936</v>
      </c>
      <c r="P58" s="25">
        <f>0.45*1440/12</f>
        <v>54</v>
      </c>
      <c r="Q58" s="25">
        <f t="shared" ref="Q58:AA58" si="165">0.45*1440/12</f>
        <v>54</v>
      </c>
      <c r="R58" s="25">
        <f t="shared" si="165"/>
        <v>54</v>
      </c>
      <c r="S58" s="25">
        <f t="shared" si="165"/>
        <v>54</v>
      </c>
      <c r="T58" s="25">
        <f t="shared" si="165"/>
        <v>54</v>
      </c>
      <c r="U58" s="25">
        <f t="shared" si="165"/>
        <v>54</v>
      </c>
      <c r="V58" s="25">
        <f t="shared" si="165"/>
        <v>54</v>
      </c>
      <c r="W58" s="25">
        <f t="shared" si="165"/>
        <v>54</v>
      </c>
      <c r="X58" s="25">
        <f t="shared" si="165"/>
        <v>54</v>
      </c>
      <c r="Y58" s="25">
        <f t="shared" si="165"/>
        <v>54</v>
      </c>
      <c r="Z58" s="25">
        <f t="shared" si="165"/>
        <v>54</v>
      </c>
      <c r="AA58" s="25">
        <f t="shared" si="165"/>
        <v>54</v>
      </c>
      <c r="AB58" s="9">
        <f t="shared" si="84"/>
        <v>648</v>
      </c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9">
        <f t="shared" si="85"/>
        <v>0</v>
      </c>
      <c r="AP58" s="26">
        <f t="shared" ref="AP58:BA58" si="166">0.1*1440/12</f>
        <v>12</v>
      </c>
      <c r="AQ58" s="26">
        <f t="shared" si="166"/>
        <v>12</v>
      </c>
      <c r="AR58" s="26">
        <f t="shared" si="166"/>
        <v>12</v>
      </c>
      <c r="AS58" s="26">
        <f t="shared" si="166"/>
        <v>12</v>
      </c>
      <c r="AT58" s="26">
        <f t="shared" si="166"/>
        <v>12</v>
      </c>
      <c r="AU58" s="26">
        <f t="shared" si="166"/>
        <v>12</v>
      </c>
      <c r="AV58" s="26">
        <f t="shared" si="166"/>
        <v>12</v>
      </c>
      <c r="AW58" s="26">
        <f t="shared" si="166"/>
        <v>12</v>
      </c>
      <c r="AX58" s="26">
        <f t="shared" si="166"/>
        <v>12</v>
      </c>
      <c r="AY58" s="26">
        <f t="shared" si="166"/>
        <v>12</v>
      </c>
      <c r="AZ58" s="26">
        <f t="shared" si="166"/>
        <v>12</v>
      </c>
      <c r="BA58" s="26">
        <f t="shared" si="166"/>
        <v>12</v>
      </c>
      <c r="BB58" s="6">
        <f t="shared" si="86"/>
        <v>144</v>
      </c>
      <c r="BC58" s="26">
        <f t="shared" ref="BC58:BN58" si="167">0.1*1440/12</f>
        <v>12</v>
      </c>
      <c r="BD58" s="26">
        <f t="shared" si="167"/>
        <v>12</v>
      </c>
      <c r="BE58" s="26">
        <f t="shared" si="167"/>
        <v>12</v>
      </c>
      <c r="BF58" s="26">
        <f t="shared" si="167"/>
        <v>12</v>
      </c>
      <c r="BG58" s="26">
        <f t="shared" si="167"/>
        <v>12</v>
      </c>
      <c r="BH58" s="26">
        <f t="shared" si="167"/>
        <v>12</v>
      </c>
      <c r="BI58" s="26">
        <f t="shared" si="167"/>
        <v>12</v>
      </c>
      <c r="BJ58" s="26">
        <f t="shared" si="167"/>
        <v>12</v>
      </c>
      <c r="BK58" s="26">
        <f t="shared" si="167"/>
        <v>12</v>
      </c>
      <c r="BL58" s="26">
        <f t="shared" si="167"/>
        <v>12</v>
      </c>
      <c r="BM58" s="26">
        <f t="shared" si="167"/>
        <v>12</v>
      </c>
      <c r="BN58" s="26">
        <f t="shared" si="167"/>
        <v>12</v>
      </c>
      <c r="BO58" s="6">
        <f t="shared" si="87"/>
        <v>144</v>
      </c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6">
        <f t="shared" si="88"/>
        <v>0</v>
      </c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9">
        <f t="shared" si="122"/>
        <v>0</v>
      </c>
      <c r="CP58" s="6">
        <f t="shared" si="89"/>
        <v>503.99999999999994</v>
      </c>
      <c r="CQ58" s="26">
        <f>0.35*1440/12</f>
        <v>41.999999999999993</v>
      </c>
      <c r="CR58" s="26">
        <f t="shared" ref="CR58:DB58" si="168">0.35*1440/12</f>
        <v>41.999999999999993</v>
      </c>
      <c r="CS58" s="26">
        <f t="shared" si="168"/>
        <v>41.999999999999993</v>
      </c>
      <c r="CT58" s="26">
        <f t="shared" si="168"/>
        <v>41.999999999999993</v>
      </c>
      <c r="CU58" s="26">
        <f t="shared" si="168"/>
        <v>41.999999999999993</v>
      </c>
      <c r="CV58" s="26">
        <f t="shared" si="168"/>
        <v>41.999999999999993</v>
      </c>
      <c r="CW58" s="26">
        <f t="shared" si="168"/>
        <v>41.999999999999993</v>
      </c>
      <c r="CX58" s="26">
        <f t="shared" si="168"/>
        <v>41.999999999999993</v>
      </c>
      <c r="CY58" s="26">
        <f t="shared" si="168"/>
        <v>41.999999999999993</v>
      </c>
      <c r="CZ58" s="26">
        <f t="shared" si="168"/>
        <v>41.999999999999993</v>
      </c>
      <c r="DA58" s="26">
        <f t="shared" si="168"/>
        <v>41.999999999999993</v>
      </c>
      <c r="DB58" s="26">
        <f t="shared" si="168"/>
        <v>41.999999999999993</v>
      </c>
      <c r="DC58" s="6">
        <f t="shared" si="139"/>
        <v>503.99999999999994</v>
      </c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">
        <f t="shared" si="90"/>
        <v>0</v>
      </c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">
        <f t="shared" si="91"/>
        <v>0</v>
      </c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10">
        <f t="shared" si="92"/>
        <v>0</v>
      </c>
    </row>
    <row r="59" spans="1:146" ht="16" x14ac:dyDescent="0.2">
      <c r="A59" s="120" t="e" cm="1">
        <f t="array" ref="A59">_xlfn.XLOOKUP(B59&amp;C59,#REF! &amp;#REF!,#REF!)</f>
        <v>#REF!</v>
      </c>
      <c r="B59" s="18" t="s">
        <v>231</v>
      </c>
      <c r="C59" s="117" t="s">
        <v>232</v>
      </c>
      <c r="D59" s="23" t="s">
        <v>37</v>
      </c>
      <c r="E59" s="23"/>
      <c r="F59" s="21" t="s">
        <v>233</v>
      </c>
      <c r="G59" s="26">
        <v>1</v>
      </c>
      <c r="H59" s="26">
        <v>1</v>
      </c>
      <c r="I59" s="3">
        <f t="shared" si="77"/>
        <v>0</v>
      </c>
      <c r="J59" s="3">
        <f t="shared" si="78"/>
        <v>0.44624999999999992</v>
      </c>
      <c r="K59" s="3">
        <f t="shared" si="79"/>
        <v>0.55374999999999996</v>
      </c>
      <c r="L59" s="4">
        <v>1440</v>
      </c>
      <c r="M59" s="4">
        <f t="shared" si="80"/>
        <v>1440</v>
      </c>
      <c r="N59" s="5">
        <f t="shared" si="81"/>
        <v>1440</v>
      </c>
      <c r="O59" s="9">
        <f t="shared" si="82"/>
        <v>642.59999999999991</v>
      </c>
      <c r="P59" s="25">
        <f t="shared" ref="P59:AA59" si="169">0.85*(1440-684)/12</f>
        <v>53.550000000000004</v>
      </c>
      <c r="Q59" s="25">
        <f t="shared" si="169"/>
        <v>53.550000000000004</v>
      </c>
      <c r="R59" s="25">
        <f t="shared" si="169"/>
        <v>53.550000000000004</v>
      </c>
      <c r="S59" s="25">
        <f t="shared" si="169"/>
        <v>53.550000000000004</v>
      </c>
      <c r="T59" s="25">
        <f t="shared" si="169"/>
        <v>53.550000000000004</v>
      </c>
      <c r="U59" s="25">
        <f t="shared" si="169"/>
        <v>53.550000000000004</v>
      </c>
      <c r="V59" s="25">
        <f t="shared" si="169"/>
        <v>53.550000000000004</v>
      </c>
      <c r="W59" s="25">
        <f t="shared" si="169"/>
        <v>53.550000000000004</v>
      </c>
      <c r="X59" s="25">
        <f t="shared" si="169"/>
        <v>53.550000000000004</v>
      </c>
      <c r="Y59" s="25">
        <f t="shared" si="169"/>
        <v>53.550000000000004</v>
      </c>
      <c r="Z59" s="25">
        <f t="shared" si="169"/>
        <v>53.550000000000004</v>
      </c>
      <c r="AA59" s="25">
        <f t="shared" si="169"/>
        <v>53.550000000000004</v>
      </c>
      <c r="AB59" s="9">
        <f t="shared" si="84"/>
        <v>642.59999999999991</v>
      </c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9">
        <f t="shared" si="85"/>
        <v>0</v>
      </c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6">
        <f t="shared" si="86"/>
        <v>0</v>
      </c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6">
        <f t="shared" si="87"/>
        <v>0</v>
      </c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6">
        <f t="shared" si="88"/>
        <v>0</v>
      </c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9">
        <f t="shared" si="122"/>
        <v>0</v>
      </c>
      <c r="CP59" s="6">
        <f t="shared" si="89"/>
        <v>797.4</v>
      </c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6">
        <f t="shared" si="139"/>
        <v>0</v>
      </c>
      <c r="DD59" s="27">
        <f t="shared" ref="DD59:DO59" si="170">0.15*(1440-684)/12</f>
        <v>9.4499999999999993</v>
      </c>
      <c r="DE59" s="27">
        <f t="shared" si="170"/>
        <v>9.4499999999999993</v>
      </c>
      <c r="DF59" s="27">
        <f t="shared" si="170"/>
        <v>9.4499999999999993</v>
      </c>
      <c r="DG59" s="27">
        <f t="shared" si="170"/>
        <v>9.4499999999999993</v>
      </c>
      <c r="DH59" s="27">
        <f t="shared" si="170"/>
        <v>9.4499999999999993</v>
      </c>
      <c r="DI59" s="27">
        <f t="shared" si="170"/>
        <v>9.4499999999999993</v>
      </c>
      <c r="DJ59" s="27">
        <f t="shared" si="170"/>
        <v>9.4499999999999993</v>
      </c>
      <c r="DK59" s="27">
        <f t="shared" si="170"/>
        <v>9.4499999999999993</v>
      </c>
      <c r="DL59" s="27">
        <f t="shared" si="170"/>
        <v>9.4499999999999993</v>
      </c>
      <c r="DM59" s="27">
        <f t="shared" si="170"/>
        <v>9.4499999999999993</v>
      </c>
      <c r="DN59" s="27">
        <f t="shared" si="170"/>
        <v>9.4499999999999993</v>
      </c>
      <c r="DO59" s="27">
        <f t="shared" si="170"/>
        <v>9.4499999999999993</v>
      </c>
      <c r="DP59" s="2">
        <f t="shared" si="90"/>
        <v>113.40000000000002</v>
      </c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">
        <f t="shared" si="91"/>
        <v>0</v>
      </c>
      <c r="ED59" s="26">
        <f t="shared" ref="ED59:EO59" si="171">684/12</f>
        <v>57</v>
      </c>
      <c r="EE59" s="26">
        <f t="shared" si="171"/>
        <v>57</v>
      </c>
      <c r="EF59" s="26">
        <f t="shared" si="171"/>
        <v>57</v>
      </c>
      <c r="EG59" s="26">
        <f t="shared" si="171"/>
        <v>57</v>
      </c>
      <c r="EH59" s="26">
        <f t="shared" si="171"/>
        <v>57</v>
      </c>
      <c r="EI59" s="26">
        <f t="shared" si="171"/>
        <v>57</v>
      </c>
      <c r="EJ59" s="26">
        <f t="shared" si="171"/>
        <v>57</v>
      </c>
      <c r="EK59" s="26">
        <f t="shared" si="171"/>
        <v>57</v>
      </c>
      <c r="EL59" s="26">
        <f t="shared" si="171"/>
        <v>57</v>
      </c>
      <c r="EM59" s="26">
        <f t="shared" si="171"/>
        <v>57</v>
      </c>
      <c r="EN59" s="26">
        <f t="shared" si="171"/>
        <v>57</v>
      </c>
      <c r="EO59" s="26">
        <f t="shared" si="171"/>
        <v>57</v>
      </c>
      <c r="EP59" s="10">
        <f t="shared" si="92"/>
        <v>684</v>
      </c>
    </row>
    <row r="60" spans="1:146" ht="16" x14ac:dyDescent="0.2">
      <c r="A60" s="120" t="e" cm="1">
        <f t="array" ref="A60">_xlfn.XLOOKUP(B60&amp;C60,#REF! &amp;#REF!,#REF!)</f>
        <v>#REF!</v>
      </c>
      <c r="B60" s="18" t="s">
        <v>234</v>
      </c>
      <c r="C60" s="117" t="s">
        <v>144</v>
      </c>
      <c r="D60" s="23" t="s">
        <v>42</v>
      </c>
      <c r="E60" s="23"/>
      <c r="F60" s="21" t="s">
        <v>235</v>
      </c>
      <c r="G60" s="26">
        <v>1</v>
      </c>
      <c r="H60" s="26">
        <v>1</v>
      </c>
      <c r="I60" s="3">
        <f t="shared" si="77"/>
        <v>0</v>
      </c>
      <c r="J60" s="3">
        <f t="shared" si="78"/>
        <v>0.41666666666666669</v>
      </c>
      <c r="K60" s="3">
        <f t="shared" si="79"/>
        <v>0.58333333333333337</v>
      </c>
      <c r="L60" s="4">
        <v>1440</v>
      </c>
      <c r="M60" s="4">
        <f t="shared" si="80"/>
        <v>1440</v>
      </c>
      <c r="N60" s="5">
        <f t="shared" si="81"/>
        <v>1440</v>
      </c>
      <c r="O60" s="9">
        <f t="shared" si="82"/>
        <v>600</v>
      </c>
      <c r="P60" s="25">
        <f>0.2*1440/12</f>
        <v>24</v>
      </c>
      <c r="Q60" s="25">
        <f t="shared" ref="Q60:AA60" si="172">0.2*1440/12</f>
        <v>24</v>
      </c>
      <c r="R60" s="25">
        <f t="shared" si="172"/>
        <v>24</v>
      </c>
      <c r="S60" s="25">
        <f t="shared" si="172"/>
        <v>24</v>
      </c>
      <c r="T60" s="25">
        <f t="shared" si="172"/>
        <v>24</v>
      </c>
      <c r="U60" s="25">
        <f t="shared" si="172"/>
        <v>24</v>
      </c>
      <c r="V60" s="25">
        <f t="shared" si="172"/>
        <v>24</v>
      </c>
      <c r="W60" s="25">
        <f t="shared" si="172"/>
        <v>24</v>
      </c>
      <c r="X60" s="25">
        <f t="shared" si="172"/>
        <v>24</v>
      </c>
      <c r="Y60" s="25">
        <f t="shared" si="172"/>
        <v>24</v>
      </c>
      <c r="Z60" s="25">
        <f t="shared" si="172"/>
        <v>24</v>
      </c>
      <c r="AA60" s="25">
        <f t="shared" si="172"/>
        <v>24</v>
      </c>
      <c r="AB60" s="9">
        <f t="shared" si="84"/>
        <v>288</v>
      </c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9">
        <f t="shared" si="85"/>
        <v>0</v>
      </c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6">
        <f t="shared" si="86"/>
        <v>0</v>
      </c>
      <c r="BC60" s="26">
        <f t="shared" ref="BC60:BN60" si="173">0.1*1440/12</f>
        <v>12</v>
      </c>
      <c r="BD60" s="26">
        <f t="shared" si="173"/>
        <v>12</v>
      </c>
      <c r="BE60" s="26">
        <f t="shared" si="173"/>
        <v>12</v>
      </c>
      <c r="BF60" s="26">
        <f t="shared" si="173"/>
        <v>12</v>
      </c>
      <c r="BG60" s="26">
        <f t="shared" si="173"/>
        <v>12</v>
      </c>
      <c r="BH60" s="26">
        <f t="shared" si="173"/>
        <v>12</v>
      </c>
      <c r="BI60" s="26">
        <f t="shared" si="173"/>
        <v>12</v>
      </c>
      <c r="BJ60" s="26">
        <f t="shared" si="173"/>
        <v>12</v>
      </c>
      <c r="BK60" s="26">
        <f t="shared" si="173"/>
        <v>12</v>
      </c>
      <c r="BL60" s="26">
        <f t="shared" si="173"/>
        <v>12</v>
      </c>
      <c r="BM60" s="26">
        <f t="shared" si="173"/>
        <v>12</v>
      </c>
      <c r="BN60" s="26">
        <f t="shared" si="173"/>
        <v>12</v>
      </c>
      <c r="BO60" s="6">
        <f t="shared" si="87"/>
        <v>144</v>
      </c>
      <c r="BP60" s="26">
        <f>168/12</f>
        <v>14</v>
      </c>
      <c r="BQ60" s="26">
        <f t="shared" ref="BQ60:CA60" si="174">168/12</f>
        <v>14</v>
      </c>
      <c r="BR60" s="26">
        <f t="shared" si="174"/>
        <v>14</v>
      </c>
      <c r="BS60" s="26">
        <f t="shared" si="174"/>
        <v>14</v>
      </c>
      <c r="BT60" s="26">
        <f t="shared" si="174"/>
        <v>14</v>
      </c>
      <c r="BU60" s="26">
        <f t="shared" si="174"/>
        <v>14</v>
      </c>
      <c r="BV60" s="26">
        <f t="shared" si="174"/>
        <v>14</v>
      </c>
      <c r="BW60" s="26">
        <f t="shared" si="174"/>
        <v>14</v>
      </c>
      <c r="BX60" s="26">
        <f t="shared" si="174"/>
        <v>14</v>
      </c>
      <c r="BY60" s="26">
        <f t="shared" si="174"/>
        <v>14</v>
      </c>
      <c r="BZ60" s="26">
        <f t="shared" si="174"/>
        <v>14</v>
      </c>
      <c r="CA60" s="26">
        <f t="shared" si="174"/>
        <v>14</v>
      </c>
      <c r="CB60" s="6">
        <f t="shared" si="88"/>
        <v>168</v>
      </c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9">
        <f t="shared" si="122"/>
        <v>0</v>
      </c>
      <c r="CP60" s="6">
        <f t="shared" si="89"/>
        <v>840</v>
      </c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6">
        <f t="shared" si="139"/>
        <v>0</v>
      </c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">
        <f t="shared" si="90"/>
        <v>0</v>
      </c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">
        <f t="shared" si="91"/>
        <v>0</v>
      </c>
      <c r="ED60" s="26">
        <f t="shared" ref="ED60:EO60" si="175">840/12</f>
        <v>70</v>
      </c>
      <c r="EE60" s="26">
        <f t="shared" si="175"/>
        <v>70</v>
      </c>
      <c r="EF60" s="26">
        <f t="shared" si="175"/>
        <v>70</v>
      </c>
      <c r="EG60" s="26">
        <f t="shared" si="175"/>
        <v>70</v>
      </c>
      <c r="EH60" s="26">
        <f t="shared" si="175"/>
        <v>70</v>
      </c>
      <c r="EI60" s="26">
        <f t="shared" si="175"/>
        <v>70</v>
      </c>
      <c r="EJ60" s="26">
        <f t="shared" si="175"/>
        <v>70</v>
      </c>
      <c r="EK60" s="26">
        <f t="shared" si="175"/>
        <v>70</v>
      </c>
      <c r="EL60" s="26">
        <f t="shared" si="175"/>
        <v>70</v>
      </c>
      <c r="EM60" s="26">
        <f t="shared" si="175"/>
        <v>70</v>
      </c>
      <c r="EN60" s="26">
        <f t="shared" si="175"/>
        <v>70</v>
      </c>
      <c r="EO60" s="26">
        <f t="shared" si="175"/>
        <v>70</v>
      </c>
      <c r="EP60" s="10">
        <f t="shared" si="92"/>
        <v>840</v>
      </c>
    </row>
    <row r="61" spans="1:146" ht="16" x14ac:dyDescent="0.2">
      <c r="A61" s="120" t="e" cm="1">
        <f t="array" ref="A61">_xlfn.XLOOKUP(B61&amp;C61,#REF! &amp;#REF!,#REF!)</f>
        <v>#REF!</v>
      </c>
      <c r="B61" s="18" t="s">
        <v>236</v>
      </c>
      <c r="C61" s="117" t="s">
        <v>237</v>
      </c>
      <c r="D61" s="23" t="s">
        <v>238</v>
      </c>
      <c r="E61" s="23"/>
      <c r="F61" s="21" t="s">
        <v>239</v>
      </c>
      <c r="G61" s="26">
        <v>1</v>
      </c>
      <c r="H61" s="26">
        <v>1</v>
      </c>
      <c r="I61" s="3">
        <f t="shared" si="77"/>
        <v>0</v>
      </c>
      <c r="J61" s="3">
        <f t="shared" si="78"/>
        <v>0.4513888888888889</v>
      </c>
      <c r="K61" s="3">
        <f t="shared" si="79"/>
        <v>0.54861111111111116</v>
      </c>
      <c r="L61" s="4">
        <v>1440</v>
      </c>
      <c r="M61" s="4">
        <f t="shared" si="80"/>
        <v>1440</v>
      </c>
      <c r="N61" s="5">
        <f t="shared" si="81"/>
        <v>1440</v>
      </c>
      <c r="O61" s="9">
        <f t="shared" si="82"/>
        <v>650</v>
      </c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9">
        <f t="shared" si="84"/>
        <v>0</v>
      </c>
      <c r="AC61" s="26">
        <f t="shared" ref="AC61:AN61" si="176">650/12</f>
        <v>54.166666666666664</v>
      </c>
      <c r="AD61" s="26">
        <f t="shared" si="176"/>
        <v>54.166666666666664</v>
      </c>
      <c r="AE61" s="26">
        <f t="shared" si="176"/>
        <v>54.166666666666664</v>
      </c>
      <c r="AF61" s="26">
        <f t="shared" si="176"/>
        <v>54.166666666666664</v>
      </c>
      <c r="AG61" s="26">
        <f t="shared" si="176"/>
        <v>54.166666666666664</v>
      </c>
      <c r="AH61" s="26">
        <f t="shared" si="176"/>
        <v>54.166666666666664</v>
      </c>
      <c r="AI61" s="26">
        <f t="shared" si="176"/>
        <v>54.166666666666664</v>
      </c>
      <c r="AJ61" s="26">
        <f t="shared" si="176"/>
        <v>54.166666666666664</v>
      </c>
      <c r="AK61" s="26">
        <f t="shared" si="176"/>
        <v>54.166666666666664</v>
      </c>
      <c r="AL61" s="26">
        <f t="shared" si="176"/>
        <v>54.166666666666664</v>
      </c>
      <c r="AM61" s="26">
        <f t="shared" si="176"/>
        <v>54.166666666666664</v>
      </c>
      <c r="AN61" s="26">
        <f t="shared" si="176"/>
        <v>54.166666666666664</v>
      </c>
      <c r="AO61" s="9">
        <f t="shared" si="85"/>
        <v>650</v>
      </c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6">
        <f t="shared" si="86"/>
        <v>0</v>
      </c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6">
        <f t="shared" si="87"/>
        <v>0</v>
      </c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6">
        <f t="shared" si="88"/>
        <v>0</v>
      </c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9">
        <f t="shared" si="122"/>
        <v>0</v>
      </c>
      <c r="CP61" s="6">
        <f t="shared" si="89"/>
        <v>790.00000000000011</v>
      </c>
      <c r="CQ61" s="26">
        <f t="shared" ref="CQ61:DB61" si="177">790/12</f>
        <v>65.833333333333329</v>
      </c>
      <c r="CR61" s="26">
        <f t="shared" si="177"/>
        <v>65.833333333333329</v>
      </c>
      <c r="CS61" s="26">
        <f t="shared" si="177"/>
        <v>65.833333333333329</v>
      </c>
      <c r="CT61" s="26">
        <f t="shared" si="177"/>
        <v>65.833333333333329</v>
      </c>
      <c r="CU61" s="26">
        <f t="shared" si="177"/>
        <v>65.833333333333329</v>
      </c>
      <c r="CV61" s="26">
        <f t="shared" si="177"/>
        <v>65.833333333333329</v>
      </c>
      <c r="CW61" s="26">
        <f t="shared" si="177"/>
        <v>65.833333333333329</v>
      </c>
      <c r="CX61" s="26">
        <f t="shared" si="177"/>
        <v>65.833333333333329</v>
      </c>
      <c r="CY61" s="26">
        <f t="shared" si="177"/>
        <v>65.833333333333329</v>
      </c>
      <c r="CZ61" s="26">
        <f t="shared" si="177"/>
        <v>65.833333333333329</v>
      </c>
      <c r="DA61" s="26">
        <f t="shared" si="177"/>
        <v>65.833333333333329</v>
      </c>
      <c r="DB61" s="26">
        <f t="shared" si="177"/>
        <v>65.833333333333329</v>
      </c>
      <c r="DC61" s="6">
        <f t="shared" si="139"/>
        <v>790.00000000000011</v>
      </c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">
        <f t="shared" si="90"/>
        <v>0</v>
      </c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">
        <f t="shared" si="91"/>
        <v>0</v>
      </c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10">
        <f t="shared" si="92"/>
        <v>0</v>
      </c>
    </row>
    <row r="62" spans="1:146" ht="16" x14ac:dyDescent="0.2">
      <c r="A62" s="120" t="e" cm="1">
        <f t="array" ref="A62">_xlfn.XLOOKUP(B62&amp;C62,#REF! &amp;#REF!,#REF!)</f>
        <v>#REF!</v>
      </c>
      <c r="B62" s="18" t="s">
        <v>240</v>
      </c>
      <c r="C62" s="117" t="s">
        <v>241</v>
      </c>
      <c r="D62" s="23" t="s">
        <v>242</v>
      </c>
      <c r="E62" s="23"/>
      <c r="F62" s="21" t="s">
        <v>243</v>
      </c>
      <c r="G62" s="26">
        <v>1</v>
      </c>
      <c r="H62" s="26">
        <v>0.5</v>
      </c>
      <c r="I62" s="3">
        <f t="shared" si="77"/>
        <v>0.5</v>
      </c>
      <c r="J62" s="3">
        <f t="shared" si="78"/>
        <v>0.35763888888888895</v>
      </c>
      <c r="K62" s="3">
        <f t="shared" si="79"/>
        <v>0.14236111111111113</v>
      </c>
      <c r="L62" s="4">
        <v>1440</v>
      </c>
      <c r="M62" s="4">
        <f t="shared" si="80"/>
        <v>720</v>
      </c>
      <c r="N62" s="5">
        <f t="shared" si="81"/>
        <v>720.00000000000011</v>
      </c>
      <c r="O62" s="9">
        <f t="shared" si="82"/>
        <v>515.00000000000011</v>
      </c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9">
        <f t="shared" si="84"/>
        <v>0</v>
      </c>
      <c r="AC62" s="26">
        <f t="shared" ref="AC62:AN62" si="178">515/12</f>
        <v>42.916666666666664</v>
      </c>
      <c r="AD62" s="26">
        <f t="shared" si="178"/>
        <v>42.916666666666664</v>
      </c>
      <c r="AE62" s="26">
        <f t="shared" si="178"/>
        <v>42.916666666666664</v>
      </c>
      <c r="AF62" s="26">
        <f t="shared" si="178"/>
        <v>42.916666666666664</v>
      </c>
      <c r="AG62" s="26">
        <f t="shared" si="178"/>
        <v>42.916666666666664</v>
      </c>
      <c r="AH62" s="26">
        <f t="shared" si="178"/>
        <v>42.916666666666664</v>
      </c>
      <c r="AI62" s="26">
        <f t="shared" si="178"/>
        <v>42.916666666666664</v>
      </c>
      <c r="AJ62" s="26">
        <f t="shared" si="178"/>
        <v>42.916666666666664</v>
      </c>
      <c r="AK62" s="26">
        <f t="shared" si="178"/>
        <v>42.916666666666664</v>
      </c>
      <c r="AL62" s="26">
        <f t="shared" si="178"/>
        <v>42.916666666666664</v>
      </c>
      <c r="AM62" s="26">
        <f t="shared" si="178"/>
        <v>42.916666666666664</v>
      </c>
      <c r="AN62" s="26">
        <f t="shared" si="178"/>
        <v>42.916666666666664</v>
      </c>
      <c r="AO62" s="9">
        <f t="shared" si="85"/>
        <v>515.00000000000011</v>
      </c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6">
        <f t="shared" si="86"/>
        <v>0</v>
      </c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6">
        <f t="shared" si="87"/>
        <v>0</v>
      </c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6">
        <f t="shared" si="88"/>
        <v>0</v>
      </c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9">
        <f t="shared" si="122"/>
        <v>0</v>
      </c>
      <c r="CP62" s="6">
        <f t="shared" si="89"/>
        <v>205.00000000000003</v>
      </c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6">
        <f t="shared" si="139"/>
        <v>0</v>
      </c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">
        <f t="shared" si="90"/>
        <v>0</v>
      </c>
      <c r="DQ62" s="26">
        <f t="shared" ref="DQ62:EB62" si="179">205/12</f>
        <v>17.083333333333332</v>
      </c>
      <c r="DR62" s="26">
        <f t="shared" si="179"/>
        <v>17.083333333333332</v>
      </c>
      <c r="DS62" s="26">
        <f t="shared" si="179"/>
        <v>17.083333333333332</v>
      </c>
      <c r="DT62" s="26">
        <f t="shared" si="179"/>
        <v>17.083333333333332</v>
      </c>
      <c r="DU62" s="26">
        <f t="shared" si="179"/>
        <v>17.083333333333332</v>
      </c>
      <c r="DV62" s="26">
        <f t="shared" si="179"/>
        <v>17.083333333333332</v>
      </c>
      <c r="DW62" s="26">
        <f t="shared" si="179"/>
        <v>17.083333333333332</v>
      </c>
      <c r="DX62" s="26">
        <f t="shared" si="179"/>
        <v>17.083333333333332</v>
      </c>
      <c r="DY62" s="26">
        <f t="shared" si="179"/>
        <v>17.083333333333332</v>
      </c>
      <c r="DZ62" s="26">
        <f t="shared" si="179"/>
        <v>17.083333333333332</v>
      </c>
      <c r="EA62" s="26">
        <f t="shared" si="179"/>
        <v>17.083333333333332</v>
      </c>
      <c r="EB62" s="26">
        <f t="shared" si="179"/>
        <v>17.083333333333332</v>
      </c>
      <c r="EC62" s="2">
        <f t="shared" si="91"/>
        <v>205.00000000000003</v>
      </c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10">
        <f t="shared" si="92"/>
        <v>0</v>
      </c>
    </row>
    <row r="63" spans="1:146" ht="16" x14ac:dyDescent="0.2">
      <c r="A63" s="120" t="e" cm="1">
        <f t="array" ref="A63">_xlfn.XLOOKUP(B63&amp;C63,#REF! &amp;#REF!,#REF!)</f>
        <v>#REF!</v>
      </c>
      <c r="B63" s="18" t="s">
        <v>244</v>
      </c>
      <c r="C63" s="117" t="s">
        <v>245</v>
      </c>
      <c r="D63" s="23" t="s">
        <v>246</v>
      </c>
      <c r="E63" s="23"/>
      <c r="F63" s="21" t="s">
        <v>247</v>
      </c>
      <c r="G63" s="26">
        <v>1</v>
      </c>
      <c r="H63" s="26">
        <v>0.52500000000000002</v>
      </c>
      <c r="I63" s="3">
        <f t="shared" si="77"/>
        <v>0.47499999999999998</v>
      </c>
      <c r="J63" s="3">
        <f t="shared" si="78"/>
        <v>0.21250000000000002</v>
      </c>
      <c r="K63" s="3">
        <f t="shared" si="79"/>
        <v>0.3125</v>
      </c>
      <c r="L63" s="4">
        <v>1440</v>
      </c>
      <c r="M63" s="4">
        <f t="shared" si="80"/>
        <v>756</v>
      </c>
      <c r="N63" s="5">
        <f t="shared" si="81"/>
        <v>756</v>
      </c>
      <c r="O63" s="9">
        <f t="shared" si="82"/>
        <v>306</v>
      </c>
      <c r="P63" s="25">
        <f>+((540-144)*0.5)/12</f>
        <v>16.5</v>
      </c>
      <c r="Q63" s="25">
        <f t="shared" ref="Q63:U63" si="180">+((540-144)*0.5)/12</f>
        <v>16.5</v>
      </c>
      <c r="R63" s="25">
        <f t="shared" si="180"/>
        <v>16.5</v>
      </c>
      <c r="S63" s="25">
        <f t="shared" si="180"/>
        <v>16.5</v>
      </c>
      <c r="T63" s="25">
        <f t="shared" si="180"/>
        <v>16.5</v>
      </c>
      <c r="U63" s="25">
        <f t="shared" si="180"/>
        <v>16.5</v>
      </c>
      <c r="V63" s="25">
        <f>540/2/12</f>
        <v>22.5</v>
      </c>
      <c r="W63" s="25">
        <f t="shared" ref="W63:AA63" si="181">540/2/12</f>
        <v>22.5</v>
      </c>
      <c r="X63" s="25">
        <f t="shared" si="181"/>
        <v>22.5</v>
      </c>
      <c r="Y63" s="25">
        <f t="shared" si="181"/>
        <v>22.5</v>
      </c>
      <c r="Z63" s="25">
        <f t="shared" si="181"/>
        <v>22.5</v>
      </c>
      <c r="AA63" s="25">
        <f t="shared" si="181"/>
        <v>22.5</v>
      </c>
      <c r="AB63" s="9">
        <f t="shared" si="84"/>
        <v>234</v>
      </c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9">
        <f t="shared" si="85"/>
        <v>0</v>
      </c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6">
        <f t="shared" si="86"/>
        <v>0</v>
      </c>
      <c r="BC63" s="26">
        <f>144/12</f>
        <v>12</v>
      </c>
      <c r="BD63" s="26">
        <f t="shared" ref="BD63:BH63" si="182">144/12</f>
        <v>12</v>
      </c>
      <c r="BE63" s="26">
        <f t="shared" si="182"/>
        <v>12</v>
      </c>
      <c r="BF63" s="26">
        <f t="shared" si="182"/>
        <v>12</v>
      </c>
      <c r="BG63" s="26">
        <f t="shared" si="182"/>
        <v>12</v>
      </c>
      <c r="BH63" s="26">
        <f t="shared" si="182"/>
        <v>12</v>
      </c>
      <c r="BI63" s="26"/>
      <c r="BJ63" s="26"/>
      <c r="BK63" s="26"/>
      <c r="BL63" s="26"/>
      <c r="BM63" s="26"/>
      <c r="BN63" s="26"/>
      <c r="BO63" s="6">
        <f t="shared" si="87"/>
        <v>72</v>
      </c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6">
        <f t="shared" si="88"/>
        <v>0</v>
      </c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9">
        <f t="shared" si="122"/>
        <v>0</v>
      </c>
      <c r="CP63" s="6">
        <f t="shared" si="89"/>
        <v>450</v>
      </c>
      <c r="CQ63" s="26">
        <f>900/2/12</f>
        <v>37.5</v>
      </c>
      <c r="CR63" s="26">
        <f t="shared" ref="CR63:DB63" si="183">900/2/12</f>
        <v>37.5</v>
      </c>
      <c r="CS63" s="26">
        <f t="shared" si="183"/>
        <v>37.5</v>
      </c>
      <c r="CT63" s="26">
        <f t="shared" si="183"/>
        <v>37.5</v>
      </c>
      <c r="CU63" s="26">
        <f t="shared" si="183"/>
        <v>37.5</v>
      </c>
      <c r="CV63" s="26">
        <f t="shared" si="183"/>
        <v>37.5</v>
      </c>
      <c r="CW63" s="26">
        <f t="shared" si="183"/>
        <v>37.5</v>
      </c>
      <c r="CX63" s="26">
        <f t="shared" si="183"/>
        <v>37.5</v>
      </c>
      <c r="CY63" s="26">
        <f t="shared" si="183"/>
        <v>37.5</v>
      </c>
      <c r="CZ63" s="26">
        <f t="shared" si="183"/>
        <v>37.5</v>
      </c>
      <c r="DA63" s="26">
        <f t="shared" si="183"/>
        <v>37.5</v>
      </c>
      <c r="DB63" s="26">
        <f t="shared" si="183"/>
        <v>37.5</v>
      </c>
      <c r="DC63" s="6">
        <f t="shared" si="139"/>
        <v>450</v>
      </c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">
        <f t="shared" si="90"/>
        <v>0</v>
      </c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">
        <f t="shared" si="91"/>
        <v>0</v>
      </c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10">
        <f t="shared" si="92"/>
        <v>0</v>
      </c>
    </row>
    <row r="64" spans="1:146" ht="16" x14ac:dyDescent="0.2">
      <c r="A64" s="120" t="e" cm="1">
        <f t="array" ref="A64">_xlfn.XLOOKUP(B64&amp;C64,#REF! &amp;#REF!,#REF!)</f>
        <v>#REF!</v>
      </c>
      <c r="B64" s="18" t="s">
        <v>248</v>
      </c>
      <c r="C64" s="118" t="s">
        <v>144</v>
      </c>
      <c r="D64" s="23"/>
      <c r="E64" s="23" t="s">
        <v>43</v>
      </c>
      <c r="F64" s="21" t="s">
        <v>4</v>
      </c>
      <c r="G64" s="26">
        <v>0.65</v>
      </c>
      <c r="H64" s="26">
        <v>0.65</v>
      </c>
      <c r="I64" s="3">
        <f t="shared" si="77"/>
        <v>0</v>
      </c>
      <c r="J64" s="3">
        <f t="shared" si="78"/>
        <v>0.60666666666666658</v>
      </c>
      <c r="K64" s="3">
        <f t="shared" si="79"/>
        <v>4.3333333333333342E-2</v>
      </c>
      <c r="L64" s="4">
        <v>1440</v>
      </c>
      <c r="M64" s="4">
        <f t="shared" si="80"/>
        <v>936</v>
      </c>
      <c r="N64" s="5">
        <f t="shared" si="81"/>
        <v>935.99999999999977</v>
      </c>
      <c r="O64" s="9">
        <f t="shared" si="82"/>
        <v>873.5999999999998</v>
      </c>
      <c r="P64" s="25">
        <f t="shared" ref="P64:AA64" si="184">(0.65*(1440-96))/12</f>
        <v>72.8</v>
      </c>
      <c r="Q64" s="25">
        <f t="shared" si="184"/>
        <v>72.8</v>
      </c>
      <c r="R64" s="25">
        <f t="shared" si="184"/>
        <v>72.8</v>
      </c>
      <c r="S64" s="25">
        <f t="shared" si="184"/>
        <v>72.8</v>
      </c>
      <c r="T64" s="25">
        <f t="shared" si="184"/>
        <v>72.8</v>
      </c>
      <c r="U64" s="25">
        <f t="shared" si="184"/>
        <v>72.8</v>
      </c>
      <c r="V64" s="25">
        <f t="shared" si="184"/>
        <v>72.8</v>
      </c>
      <c r="W64" s="25">
        <f t="shared" si="184"/>
        <v>72.8</v>
      </c>
      <c r="X64" s="25">
        <f t="shared" si="184"/>
        <v>72.8</v>
      </c>
      <c r="Y64" s="25">
        <f t="shared" si="184"/>
        <v>72.8</v>
      </c>
      <c r="Z64" s="25">
        <f t="shared" si="184"/>
        <v>72.8</v>
      </c>
      <c r="AA64" s="25">
        <f t="shared" si="184"/>
        <v>72.8</v>
      </c>
      <c r="AB64" s="9">
        <f t="shared" si="84"/>
        <v>873.5999999999998</v>
      </c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9">
        <f t="shared" si="85"/>
        <v>0</v>
      </c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6">
        <f t="shared" si="86"/>
        <v>0</v>
      </c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6">
        <f t="shared" si="87"/>
        <v>0</v>
      </c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6">
        <f t="shared" si="88"/>
        <v>0</v>
      </c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9">
        <f t="shared" si="122"/>
        <v>0</v>
      </c>
      <c r="CP64" s="6">
        <f t="shared" si="89"/>
        <v>62.400000000000013</v>
      </c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6">
        <f t="shared" si="139"/>
        <v>0</v>
      </c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">
        <f t="shared" si="90"/>
        <v>0</v>
      </c>
      <c r="DQ64" s="26">
        <f t="shared" ref="DQ64:EB64" si="185">0.65*96/12</f>
        <v>5.2</v>
      </c>
      <c r="DR64" s="26">
        <f t="shared" si="185"/>
        <v>5.2</v>
      </c>
      <c r="DS64" s="26">
        <f t="shared" si="185"/>
        <v>5.2</v>
      </c>
      <c r="DT64" s="26">
        <f t="shared" si="185"/>
        <v>5.2</v>
      </c>
      <c r="DU64" s="26">
        <f t="shared" si="185"/>
        <v>5.2</v>
      </c>
      <c r="DV64" s="26">
        <f t="shared" si="185"/>
        <v>5.2</v>
      </c>
      <c r="DW64" s="26">
        <f t="shared" si="185"/>
        <v>5.2</v>
      </c>
      <c r="DX64" s="26">
        <f t="shared" si="185"/>
        <v>5.2</v>
      </c>
      <c r="DY64" s="26">
        <f t="shared" si="185"/>
        <v>5.2</v>
      </c>
      <c r="DZ64" s="26">
        <f t="shared" si="185"/>
        <v>5.2</v>
      </c>
      <c r="EA64" s="26">
        <f t="shared" si="185"/>
        <v>5.2</v>
      </c>
      <c r="EB64" s="26">
        <f t="shared" si="185"/>
        <v>5.2</v>
      </c>
      <c r="EC64" s="2">
        <f t="shared" si="91"/>
        <v>62.400000000000013</v>
      </c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10">
        <f t="shared" si="92"/>
        <v>0</v>
      </c>
    </row>
    <row r="65" spans="1:146" ht="16" x14ac:dyDescent="0.2">
      <c r="A65" s="120" t="e" cm="1">
        <f t="array" ref="A65">_xlfn.XLOOKUP(B65&amp;C65,#REF! &amp;#REF!,#REF!)</f>
        <v>#REF!</v>
      </c>
      <c r="B65" s="18" t="s">
        <v>249</v>
      </c>
      <c r="C65" s="117" t="s">
        <v>250</v>
      </c>
      <c r="D65" s="23" t="s">
        <v>251</v>
      </c>
      <c r="E65" s="23"/>
      <c r="F65" s="21" t="s">
        <v>252</v>
      </c>
      <c r="G65" s="26">
        <v>1</v>
      </c>
      <c r="H65" s="26">
        <v>1</v>
      </c>
      <c r="I65" s="3">
        <f t="shared" si="77"/>
        <v>0</v>
      </c>
      <c r="J65" s="3">
        <f t="shared" si="78"/>
        <v>0.73333333333333328</v>
      </c>
      <c r="K65" s="3">
        <f t="shared" si="79"/>
        <v>0.26666666666666666</v>
      </c>
      <c r="L65" s="4">
        <v>1440</v>
      </c>
      <c r="M65" s="4">
        <f t="shared" si="80"/>
        <v>1440</v>
      </c>
      <c r="N65" s="5">
        <f t="shared" si="81"/>
        <v>1440</v>
      </c>
      <c r="O65" s="9">
        <f t="shared" si="82"/>
        <v>1056</v>
      </c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9">
        <f t="shared" si="84"/>
        <v>0</v>
      </c>
      <c r="AC65" s="26">
        <f t="shared" ref="AC65:AN65" si="186">1056/12</f>
        <v>88</v>
      </c>
      <c r="AD65" s="26">
        <f t="shared" si="186"/>
        <v>88</v>
      </c>
      <c r="AE65" s="26">
        <f t="shared" si="186"/>
        <v>88</v>
      </c>
      <c r="AF65" s="26">
        <f t="shared" si="186"/>
        <v>88</v>
      </c>
      <c r="AG65" s="26">
        <f t="shared" si="186"/>
        <v>88</v>
      </c>
      <c r="AH65" s="26">
        <f t="shared" si="186"/>
        <v>88</v>
      </c>
      <c r="AI65" s="26">
        <f t="shared" si="186"/>
        <v>88</v>
      </c>
      <c r="AJ65" s="26">
        <f t="shared" si="186"/>
        <v>88</v>
      </c>
      <c r="AK65" s="26">
        <f t="shared" si="186"/>
        <v>88</v>
      </c>
      <c r="AL65" s="26">
        <f t="shared" si="186"/>
        <v>88</v>
      </c>
      <c r="AM65" s="26">
        <f t="shared" si="186"/>
        <v>88</v>
      </c>
      <c r="AN65" s="26">
        <f t="shared" si="186"/>
        <v>88</v>
      </c>
      <c r="AO65" s="9">
        <f t="shared" si="85"/>
        <v>1056</v>
      </c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6">
        <f t="shared" si="86"/>
        <v>0</v>
      </c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6">
        <f t="shared" si="87"/>
        <v>0</v>
      </c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6">
        <f t="shared" si="88"/>
        <v>0</v>
      </c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9">
        <f t="shared" si="122"/>
        <v>0</v>
      </c>
      <c r="CP65" s="6">
        <f t="shared" si="89"/>
        <v>384</v>
      </c>
      <c r="CQ65" s="26">
        <f t="shared" ref="CQ65:DB65" si="187">0.05*1440/12</f>
        <v>6</v>
      </c>
      <c r="CR65" s="26">
        <f t="shared" si="187"/>
        <v>6</v>
      </c>
      <c r="CS65" s="26">
        <f t="shared" si="187"/>
        <v>6</v>
      </c>
      <c r="CT65" s="26">
        <f t="shared" si="187"/>
        <v>6</v>
      </c>
      <c r="CU65" s="26">
        <f t="shared" si="187"/>
        <v>6</v>
      </c>
      <c r="CV65" s="26">
        <f t="shared" si="187"/>
        <v>6</v>
      </c>
      <c r="CW65" s="26">
        <f t="shared" si="187"/>
        <v>6</v>
      </c>
      <c r="CX65" s="26">
        <f t="shared" si="187"/>
        <v>6</v>
      </c>
      <c r="CY65" s="26">
        <f t="shared" si="187"/>
        <v>6</v>
      </c>
      <c r="CZ65" s="26">
        <f t="shared" si="187"/>
        <v>6</v>
      </c>
      <c r="DA65" s="26">
        <f t="shared" si="187"/>
        <v>6</v>
      </c>
      <c r="DB65" s="26">
        <f t="shared" si="187"/>
        <v>6</v>
      </c>
      <c r="DC65" s="6">
        <f t="shared" si="139"/>
        <v>72</v>
      </c>
      <c r="DD65" s="27">
        <f t="shared" ref="DD65:DO65" si="188">0.15*1440/12</f>
        <v>18</v>
      </c>
      <c r="DE65" s="27">
        <f t="shared" si="188"/>
        <v>18</v>
      </c>
      <c r="DF65" s="27">
        <f t="shared" si="188"/>
        <v>18</v>
      </c>
      <c r="DG65" s="27">
        <f t="shared" si="188"/>
        <v>18</v>
      </c>
      <c r="DH65" s="27">
        <f t="shared" si="188"/>
        <v>18</v>
      </c>
      <c r="DI65" s="27">
        <f t="shared" si="188"/>
        <v>18</v>
      </c>
      <c r="DJ65" s="27">
        <f t="shared" si="188"/>
        <v>18</v>
      </c>
      <c r="DK65" s="27">
        <f t="shared" si="188"/>
        <v>18</v>
      </c>
      <c r="DL65" s="27">
        <f t="shared" si="188"/>
        <v>18</v>
      </c>
      <c r="DM65" s="27">
        <f t="shared" si="188"/>
        <v>18</v>
      </c>
      <c r="DN65" s="27">
        <f t="shared" si="188"/>
        <v>18</v>
      </c>
      <c r="DO65" s="27">
        <f t="shared" si="188"/>
        <v>18</v>
      </c>
      <c r="DP65" s="2">
        <f t="shared" si="90"/>
        <v>216</v>
      </c>
      <c r="DQ65" s="26">
        <f t="shared" ref="DQ65:EB65" si="189">96/12</f>
        <v>8</v>
      </c>
      <c r="DR65" s="26">
        <f t="shared" si="189"/>
        <v>8</v>
      </c>
      <c r="DS65" s="26">
        <f t="shared" si="189"/>
        <v>8</v>
      </c>
      <c r="DT65" s="26">
        <f t="shared" si="189"/>
        <v>8</v>
      </c>
      <c r="DU65" s="26">
        <f t="shared" si="189"/>
        <v>8</v>
      </c>
      <c r="DV65" s="26">
        <f t="shared" si="189"/>
        <v>8</v>
      </c>
      <c r="DW65" s="26">
        <f t="shared" si="189"/>
        <v>8</v>
      </c>
      <c r="DX65" s="26">
        <f t="shared" si="189"/>
        <v>8</v>
      </c>
      <c r="DY65" s="26">
        <f t="shared" si="189"/>
        <v>8</v>
      </c>
      <c r="DZ65" s="26">
        <f t="shared" si="189"/>
        <v>8</v>
      </c>
      <c r="EA65" s="26">
        <f t="shared" si="189"/>
        <v>8</v>
      </c>
      <c r="EB65" s="26">
        <f t="shared" si="189"/>
        <v>8</v>
      </c>
      <c r="EC65" s="2">
        <f t="shared" si="91"/>
        <v>96</v>
      </c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10">
        <f t="shared" si="92"/>
        <v>0</v>
      </c>
    </row>
    <row r="66" spans="1:146" ht="16" x14ac:dyDescent="0.2">
      <c r="A66" s="120" t="e" cm="1">
        <f t="array" ref="A66">_xlfn.XLOOKUP(B66&amp;C66,#REF! &amp;#REF!,#REF!)</f>
        <v>#REF!</v>
      </c>
      <c r="B66" s="18" t="s">
        <v>253</v>
      </c>
      <c r="C66" s="117" t="s">
        <v>254</v>
      </c>
      <c r="D66" s="23" t="s">
        <v>255</v>
      </c>
      <c r="E66" s="23" t="s">
        <v>43</v>
      </c>
      <c r="F66" s="21" t="s">
        <v>256</v>
      </c>
      <c r="G66" s="26">
        <v>1</v>
      </c>
      <c r="H66" s="26">
        <v>1</v>
      </c>
      <c r="I66" s="3">
        <f t="shared" si="77"/>
        <v>0</v>
      </c>
      <c r="J66" s="3">
        <f t="shared" si="78"/>
        <v>0.58750000000000002</v>
      </c>
      <c r="K66" s="3">
        <f t="shared" si="79"/>
        <v>0.41249999999999998</v>
      </c>
      <c r="L66" s="4">
        <v>1440</v>
      </c>
      <c r="M66" s="4">
        <f t="shared" si="80"/>
        <v>1440</v>
      </c>
      <c r="N66" s="5">
        <f t="shared" si="81"/>
        <v>1440</v>
      </c>
      <c r="O66" s="9">
        <f t="shared" si="82"/>
        <v>846</v>
      </c>
      <c r="P66" s="25">
        <f t="shared" ref="P66:R66" si="190">(0.7*1440/12) - (360/12)</f>
        <v>53.999999999999986</v>
      </c>
      <c r="Q66" s="25">
        <f t="shared" si="190"/>
        <v>53.999999999999986</v>
      </c>
      <c r="R66" s="25">
        <f t="shared" si="190"/>
        <v>53.999999999999986</v>
      </c>
      <c r="S66" s="25">
        <f>(0.55*1440/12) - (360/12)</f>
        <v>36.000000000000014</v>
      </c>
      <c r="T66" s="25">
        <f t="shared" ref="T66:AA66" si="191">(0.55*1440/12) - (360/12)</f>
        <v>36.000000000000014</v>
      </c>
      <c r="U66" s="25">
        <f t="shared" si="191"/>
        <v>36.000000000000014</v>
      </c>
      <c r="V66" s="25">
        <f t="shared" si="191"/>
        <v>36.000000000000014</v>
      </c>
      <c r="W66" s="25">
        <f t="shared" si="191"/>
        <v>36.000000000000014</v>
      </c>
      <c r="X66" s="25">
        <f t="shared" si="191"/>
        <v>36.000000000000014</v>
      </c>
      <c r="Y66" s="25">
        <f t="shared" si="191"/>
        <v>36.000000000000014</v>
      </c>
      <c r="Z66" s="25">
        <f t="shared" si="191"/>
        <v>36.000000000000014</v>
      </c>
      <c r="AA66" s="25">
        <f t="shared" si="191"/>
        <v>36.000000000000014</v>
      </c>
      <c r="AB66" s="9">
        <f t="shared" si="84"/>
        <v>485.99999999999994</v>
      </c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9">
        <f t="shared" si="85"/>
        <v>0</v>
      </c>
      <c r="AP66" s="26">
        <f>0.25*1440/12</f>
        <v>30</v>
      </c>
      <c r="AQ66" s="26">
        <f t="shared" ref="AQ66:BA66" si="192">0.25*1440/12</f>
        <v>30</v>
      </c>
      <c r="AR66" s="26">
        <f t="shared" si="192"/>
        <v>30</v>
      </c>
      <c r="AS66" s="26">
        <f t="shared" si="192"/>
        <v>30</v>
      </c>
      <c r="AT66" s="26">
        <f t="shared" si="192"/>
        <v>30</v>
      </c>
      <c r="AU66" s="26">
        <f t="shared" si="192"/>
        <v>30</v>
      </c>
      <c r="AV66" s="26">
        <f t="shared" si="192"/>
        <v>30</v>
      </c>
      <c r="AW66" s="26">
        <f t="shared" si="192"/>
        <v>30</v>
      </c>
      <c r="AX66" s="26">
        <f t="shared" si="192"/>
        <v>30</v>
      </c>
      <c r="AY66" s="26">
        <f t="shared" si="192"/>
        <v>30</v>
      </c>
      <c r="AZ66" s="26">
        <f t="shared" si="192"/>
        <v>30</v>
      </c>
      <c r="BA66" s="26">
        <f t="shared" si="192"/>
        <v>30</v>
      </c>
      <c r="BB66" s="6">
        <f t="shared" si="86"/>
        <v>360</v>
      </c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6">
        <f t="shared" si="87"/>
        <v>0</v>
      </c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6">
        <f t="shared" si="88"/>
        <v>0</v>
      </c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9">
        <f t="shared" si="122"/>
        <v>0</v>
      </c>
      <c r="CP66" s="6">
        <f t="shared" si="89"/>
        <v>594</v>
      </c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6">
        <f t="shared" si="139"/>
        <v>0</v>
      </c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">
        <f t="shared" si="90"/>
        <v>0</v>
      </c>
      <c r="DQ66" s="26">
        <f t="shared" ref="DQ66:DS66" si="193">0.3*1440/12</f>
        <v>36</v>
      </c>
      <c r="DR66" s="26">
        <f t="shared" si="193"/>
        <v>36</v>
      </c>
      <c r="DS66" s="26">
        <f t="shared" si="193"/>
        <v>36</v>
      </c>
      <c r="DT66" s="26">
        <f>0.45*1440/12</f>
        <v>54</v>
      </c>
      <c r="DU66" s="26">
        <f t="shared" ref="DU66:EB66" si="194">0.45*1440/12</f>
        <v>54</v>
      </c>
      <c r="DV66" s="26">
        <f t="shared" si="194"/>
        <v>54</v>
      </c>
      <c r="DW66" s="26">
        <f t="shared" si="194"/>
        <v>54</v>
      </c>
      <c r="DX66" s="26">
        <f t="shared" si="194"/>
        <v>54</v>
      </c>
      <c r="DY66" s="26">
        <f t="shared" si="194"/>
        <v>54</v>
      </c>
      <c r="DZ66" s="26">
        <f t="shared" si="194"/>
        <v>54</v>
      </c>
      <c r="EA66" s="26">
        <f t="shared" si="194"/>
        <v>54</v>
      </c>
      <c r="EB66" s="26">
        <f t="shared" si="194"/>
        <v>54</v>
      </c>
      <c r="EC66" s="2">
        <f t="shared" si="91"/>
        <v>594</v>
      </c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10">
        <f t="shared" si="92"/>
        <v>0</v>
      </c>
    </row>
    <row r="67" spans="1:146" ht="16" x14ac:dyDescent="0.2">
      <c r="A67" s="120" t="e" cm="1">
        <f t="array" ref="A67">_xlfn.XLOOKUP(B67&amp;C67,#REF! &amp;#REF!,#REF!)</f>
        <v>#REF!</v>
      </c>
      <c r="B67" s="18" t="s">
        <v>257</v>
      </c>
      <c r="C67" s="118" t="s">
        <v>258</v>
      </c>
      <c r="D67" s="23"/>
      <c r="E67" s="23"/>
      <c r="F67" s="21" t="s">
        <v>259</v>
      </c>
      <c r="G67" s="26">
        <v>1</v>
      </c>
      <c r="H67" s="26">
        <v>1</v>
      </c>
      <c r="I67" s="3">
        <f t="shared" ref="I67:I70" si="195">+G67-H67</f>
        <v>0</v>
      </c>
      <c r="J67" s="3">
        <f t="shared" si="78"/>
        <v>0.9</v>
      </c>
      <c r="K67" s="3">
        <f t="shared" si="79"/>
        <v>0.1</v>
      </c>
      <c r="L67" s="4">
        <v>1440</v>
      </c>
      <c r="M67" s="4">
        <f t="shared" ref="M67:M70" si="196">+H67*L67</f>
        <v>1440</v>
      </c>
      <c r="N67" s="5">
        <f t="shared" ref="N67:N70" si="197">+O67+CP67</f>
        <v>1440</v>
      </c>
      <c r="O67" s="9">
        <f t="shared" si="82"/>
        <v>1296</v>
      </c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9">
        <f t="shared" ref="AB67:AB70" si="198">SUM(P67:AA67)</f>
        <v>0</v>
      </c>
      <c r="AC67" s="26">
        <f t="shared" ref="AC67:AH67" si="199">1248/12</f>
        <v>104</v>
      </c>
      <c r="AD67" s="26">
        <f t="shared" si="199"/>
        <v>104</v>
      </c>
      <c r="AE67" s="26">
        <f t="shared" si="199"/>
        <v>104</v>
      </c>
      <c r="AF67" s="26">
        <f t="shared" si="199"/>
        <v>104</v>
      </c>
      <c r="AG67" s="26">
        <f t="shared" si="199"/>
        <v>104</v>
      </c>
      <c r="AH67" s="26">
        <f t="shared" si="199"/>
        <v>104</v>
      </c>
      <c r="AI67" s="26">
        <f t="shared" ref="AI67:AN67" si="200">1344/12</f>
        <v>112</v>
      </c>
      <c r="AJ67" s="26">
        <f t="shared" si="200"/>
        <v>112</v>
      </c>
      <c r="AK67" s="26">
        <f t="shared" si="200"/>
        <v>112</v>
      </c>
      <c r="AL67" s="26">
        <f t="shared" si="200"/>
        <v>112</v>
      </c>
      <c r="AM67" s="26">
        <f t="shared" si="200"/>
        <v>112</v>
      </c>
      <c r="AN67" s="26">
        <f t="shared" si="200"/>
        <v>112</v>
      </c>
      <c r="AO67" s="9">
        <f t="shared" ref="AO67:AO70" si="201">SUM(AC67:AN67)</f>
        <v>1296</v>
      </c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6">
        <f t="shared" ref="BB67:BB70" si="202">SUM(AP67:BA67)</f>
        <v>0</v>
      </c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6">
        <f t="shared" ref="BO67:BO70" si="203">SUM(BC67:BN67)</f>
        <v>0</v>
      </c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6">
        <f t="shared" ref="CB67:CB70" si="204">SUM(BP67:CA67)</f>
        <v>0</v>
      </c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9">
        <f t="shared" si="122"/>
        <v>0</v>
      </c>
      <c r="CP67" s="6">
        <f t="shared" si="89"/>
        <v>144</v>
      </c>
      <c r="CQ67" s="26">
        <f t="shared" ref="CQ67:CV67" si="205">(1440-1248)/12</f>
        <v>16</v>
      </c>
      <c r="CR67" s="26">
        <f t="shared" si="205"/>
        <v>16</v>
      </c>
      <c r="CS67" s="26">
        <f t="shared" si="205"/>
        <v>16</v>
      </c>
      <c r="CT67" s="26">
        <f t="shared" si="205"/>
        <v>16</v>
      </c>
      <c r="CU67" s="26">
        <f t="shared" si="205"/>
        <v>16</v>
      </c>
      <c r="CV67" s="26">
        <f t="shared" si="205"/>
        <v>16</v>
      </c>
      <c r="CW67" s="26">
        <f t="shared" ref="CW67:DB67" si="206">(1440-1344)/12</f>
        <v>8</v>
      </c>
      <c r="CX67" s="26">
        <f t="shared" si="206"/>
        <v>8</v>
      </c>
      <c r="CY67" s="26">
        <f t="shared" si="206"/>
        <v>8</v>
      </c>
      <c r="CZ67" s="26">
        <f t="shared" si="206"/>
        <v>8</v>
      </c>
      <c r="DA67" s="26">
        <f t="shared" si="206"/>
        <v>8</v>
      </c>
      <c r="DB67" s="26">
        <f t="shared" si="206"/>
        <v>8</v>
      </c>
      <c r="DC67" s="6">
        <f t="shared" si="139"/>
        <v>144</v>
      </c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">
        <f t="shared" ref="DP67:DP70" si="207">SUM(DD67:DO67)</f>
        <v>0</v>
      </c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">
        <f t="shared" ref="EC67:EC70" si="208">SUM(DQ67:EB67)</f>
        <v>0</v>
      </c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10">
        <f t="shared" ref="EP67:EP70" si="209">SUM(ED67:EO67)</f>
        <v>0</v>
      </c>
    </row>
    <row r="68" spans="1:146" ht="16" x14ac:dyDescent="0.2">
      <c r="A68" s="120" t="e" cm="1">
        <f t="array" ref="A68">_xlfn.XLOOKUP(B68&amp;C68,#REF! &amp;#REF!,#REF!)</f>
        <v>#REF!</v>
      </c>
      <c r="B68" s="18" t="s">
        <v>260</v>
      </c>
      <c r="C68" s="117" t="s">
        <v>157</v>
      </c>
      <c r="D68" s="23" t="s">
        <v>261</v>
      </c>
      <c r="E68" s="23"/>
      <c r="F68" s="21" t="s">
        <v>262</v>
      </c>
      <c r="G68" s="26">
        <v>0.5</v>
      </c>
      <c r="H68" s="26">
        <v>0.5</v>
      </c>
      <c r="I68" s="3">
        <f t="shared" si="195"/>
        <v>0</v>
      </c>
      <c r="J68" s="3">
        <f t="shared" si="78"/>
        <v>0.5</v>
      </c>
      <c r="K68" s="3">
        <f t="shared" si="79"/>
        <v>0</v>
      </c>
      <c r="L68" s="4">
        <v>1440</v>
      </c>
      <c r="M68" s="4">
        <f t="shared" si="196"/>
        <v>720</v>
      </c>
      <c r="N68" s="5">
        <f t="shared" si="197"/>
        <v>720</v>
      </c>
      <c r="O68" s="9">
        <f t="shared" si="82"/>
        <v>720</v>
      </c>
      <c r="P68" s="25">
        <f t="shared" ref="P68:AA68" si="210">0.5*1440/12</f>
        <v>60</v>
      </c>
      <c r="Q68" s="25">
        <f t="shared" si="210"/>
        <v>60</v>
      </c>
      <c r="R68" s="25">
        <f t="shared" si="210"/>
        <v>60</v>
      </c>
      <c r="S68" s="25">
        <f t="shared" si="210"/>
        <v>60</v>
      </c>
      <c r="T68" s="25">
        <f t="shared" si="210"/>
        <v>60</v>
      </c>
      <c r="U68" s="25">
        <f t="shared" si="210"/>
        <v>60</v>
      </c>
      <c r="V68" s="25">
        <f t="shared" si="210"/>
        <v>60</v>
      </c>
      <c r="W68" s="25">
        <f t="shared" si="210"/>
        <v>60</v>
      </c>
      <c r="X68" s="25">
        <f t="shared" si="210"/>
        <v>60</v>
      </c>
      <c r="Y68" s="25">
        <f t="shared" si="210"/>
        <v>60</v>
      </c>
      <c r="Z68" s="25">
        <f t="shared" si="210"/>
        <v>60</v>
      </c>
      <c r="AA68" s="25">
        <f t="shared" si="210"/>
        <v>60</v>
      </c>
      <c r="AB68" s="9">
        <f t="shared" si="198"/>
        <v>720</v>
      </c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9">
        <f t="shared" si="201"/>
        <v>0</v>
      </c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6">
        <f t="shared" si="202"/>
        <v>0</v>
      </c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6">
        <f t="shared" si="203"/>
        <v>0</v>
      </c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6">
        <f t="shared" si="204"/>
        <v>0</v>
      </c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9">
        <f t="shared" si="122"/>
        <v>0</v>
      </c>
      <c r="CP68" s="6">
        <f t="shared" si="89"/>
        <v>0</v>
      </c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6">
        <f t="shared" si="139"/>
        <v>0</v>
      </c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">
        <f t="shared" si="207"/>
        <v>0</v>
      </c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">
        <f t="shared" si="208"/>
        <v>0</v>
      </c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10">
        <f t="shared" si="209"/>
        <v>0</v>
      </c>
    </row>
    <row r="69" spans="1:146" ht="16" x14ac:dyDescent="0.2">
      <c r="A69" s="120" t="e" cm="1">
        <f t="array" ref="A69">_xlfn.XLOOKUP(B69&amp;C69,#REF! &amp;#REF!,#REF!)</f>
        <v>#REF!</v>
      </c>
      <c r="B69" s="18" t="s">
        <v>263</v>
      </c>
      <c r="C69" s="117" t="s">
        <v>264</v>
      </c>
      <c r="D69" s="23"/>
      <c r="E69" s="23"/>
      <c r="F69" s="21" t="s">
        <v>188</v>
      </c>
      <c r="G69" s="26">
        <v>1</v>
      </c>
      <c r="H69" s="26">
        <v>0.25</v>
      </c>
      <c r="I69" s="3">
        <f t="shared" si="195"/>
        <v>0.75</v>
      </c>
      <c r="J69" s="3">
        <f t="shared" si="78"/>
        <v>0.25</v>
      </c>
      <c r="K69" s="3">
        <f t="shared" si="79"/>
        <v>0</v>
      </c>
      <c r="L69" s="4">
        <v>1440</v>
      </c>
      <c r="M69" s="4">
        <f t="shared" si="196"/>
        <v>360</v>
      </c>
      <c r="N69" s="5">
        <f t="shared" si="197"/>
        <v>360</v>
      </c>
      <c r="O69" s="9">
        <f t="shared" si="82"/>
        <v>360</v>
      </c>
      <c r="P69" s="25">
        <f t="shared" ref="P69:AA69" si="211">0.25*1440/12</f>
        <v>30</v>
      </c>
      <c r="Q69" s="25">
        <f t="shared" si="211"/>
        <v>30</v>
      </c>
      <c r="R69" s="25">
        <f t="shared" si="211"/>
        <v>30</v>
      </c>
      <c r="S69" s="25">
        <f t="shared" si="211"/>
        <v>30</v>
      </c>
      <c r="T69" s="25">
        <f t="shared" si="211"/>
        <v>30</v>
      </c>
      <c r="U69" s="25">
        <f t="shared" si="211"/>
        <v>30</v>
      </c>
      <c r="V69" s="25">
        <f t="shared" si="211"/>
        <v>30</v>
      </c>
      <c r="W69" s="25">
        <f t="shared" si="211"/>
        <v>30</v>
      </c>
      <c r="X69" s="25">
        <f t="shared" si="211"/>
        <v>30</v>
      </c>
      <c r="Y69" s="25">
        <f t="shared" si="211"/>
        <v>30</v>
      </c>
      <c r="Z69" s="25">
        <f t="shared" si="211"/>
        <v>30</v>
      </c>
      <c r="AA69" s="25">
        <f t="shared" si="211"/>
        <v>30</v>
      </c>
      <c r="AB69" s="9">
        <f t="shared" si="198"/>
        <v>360</v>
      </c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9">
        <f t="shared" si="201"/>
        <v>0</v>
      </c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6">
        <f t="shared" si="202"/>
        <v>0</v>
      </c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6">
        <f t="shared" si="203"/>
        <v>0</v>
      </c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6">
        <f t="shared" si="204"/>
        <v>0</v>
      </c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9">
        <f t="shared" si="122"/>
        <v>0</v>
      </c>
      <c r="CP69" s="6">
        <f t="shared" si="89"/>
        <v>0</v>
      </c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6">
        <f t="shared" si="139"/>
        <v>0</v>
      </c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">
        <f t="shared" si="207"/>
        <v>0</v>
      </c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">
        <f t="shared" si="208"/>
        <v>0</v>
      </c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10">
        <f t="shared" si="209"/>
        <v>0</v>
      </c>
    </row>
    <row r="70" spans="1:146" ht="16" x14ac:dyDescent="0.2">
      <c r="A70" s="120" t="e" cm="1">
        <f t="array" ref="A70">_xlfn.XLOOKUP(B70&amp;C70,#REF! &amp;#REF!,#REF!)</f>
        <v>#REF!</v>
      </c>
      <c r="B70" s="121" t="s">
        <v>265</v>
      </c>
      <c r="C70" s="122" t="s">
        <v>266</v>
      </c>
      <c r="D70" s="40" t="s">
        <v>37</v>
      </c>
      <c r="E70" s="40"/>
      <c r="F70" s="112" t="s">
        <v>267</v>
      </c>
      <c r="G70" s="41">
        <v>1</v>
      </c>
      <c r="H70" s="41">
        <v>1</v>
      </c>
      <c r="I70" s="11">
        <f t="shared" si="195"/>
        <v>0</v>
      </c>
      <c r="J70" s="11">
        <f t="shared" si="78"/>
        <v>0.85</v>
      </c>
      <c r="K70" s="11">
        <f t="shared" si="79"/>
        <v>0.15</v>
      </c>
      <c r="L70" s="12">
        <v>1440</v>
      </c>
      <c r="M70" s="12">
        <f t="shared" si="196"/>
        <v>1440</v>
      </c>
      <c r="N70" s="13">
        <f t="shared" si="197"/>
        <v>1440</v>
      </c>
      <c r="O70" s="15">
        <f t="shared" si="82"/>
        <v>1224</v>
      </c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15">
        <f t="shared" si="198"/>
        <v>0</v>
      </c>
      <c r="AC70" s="41">
        <f t="shared" ref="AC70:AN70" si="212">0.85*1440/12</f>
        <v>102</v>
      </c>
      <c r="AD70" s="41">
        <f t="shared" si="212"/>
        <v>102</v>
      </c>
      <c r="AE70" s="41">
        <f t="shared" si="212"/>
        <v>102</v>
      </c>
      <c r="AF70" s="41">
        <f t="shared" si="212"/>
        <v>102</v>
      </c>
      <c r="AG70" s="41">
        <f t="shared" si="212"/>
        <v>102</v>
      </c>
      <c r="AH70" s="41">
        <f t="shared" si="212"/>
        <v>102</v>
      </c>
      <c r="AI70" s="41">
        <f t="shared" si="212"/>
        <v>102</v>
      </c>
      <c r="AJ70" s="41">
        <f t="shared" si="212"/>
        <v>102</v>
      </c>
      <c r="AK70" s="41">
        <f t="shared" si="212"/>
        <v>102</v>
      </c>
      <c r="AL70" s="41">
        <f t="shared" si="212"/>
        <v>102</v>
      </c>
      <c r="AM70" s="41">
        <f t="shared" si="212"/>
        <v>102</v>
      </c>
      <c r="AN70" s="41">
        <f t="shared" si="212"/>
        <v>102</v>
      </c>
      <c r="AO70" s="15">
        <f t="shared" si="201"/>
        <v>1224</v>
      </c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14">
        <f t="shared" si="202"/>
        <v>0</v>
      </c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14">
        <f t="shared" si="203"/>
        <v>0</v>
      </c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14">
        <f t="shared" si="204"/>
        <v>0</v>
      </c>
      <c r="CC70" s="41"/>
      <c r="CD70" s="41"/>
      <c r="CE70" s="41"/>
      <c r="CF70" s="41"/>
      <c r="CG70" s="41"/>
      <c r="CH70" s="41"/>
      <c r="CI70" s="41"/>
      <c r="CJ70" s="41"/>
      <c r="CK70" s="41"/>
      <c r="CL70" s="41"/>
      <c r="CM70" s="41"/>
      <c r="CN70" s="41"/>
      <c r="CO70" s="15">
        <f t="shared" si="122"/>
        <v>0</v>
      </c>
      <c r="CP70" s="14">
        <f t="shared" si="89"/>
        <v>216</v>
      </c>
      <c r="CQ70" s="41"/>
      <c r="CR70" s="41"/>
      <c r="CS70" s="41"/>
      <c r="CT70" s="41"/>
      <c r="CU70" s="41"/>
      <c r="CV70" s="41"/>
      <c r="CW70" s="41"/>
      <c r="CX70" s="41"/>
      <c r="CY70" s="41"/>
      <c r="CZ70" s="41"/>
      <c r="DA70" s="41"/>
      <c r="DB70" s="41"/>
      <c r="DC70" s="14">
        <f t="shared" si="139"/>
        <v>0</v>
      </c>
      <c r="DD70" s="43">
        <f t="shared" ref="DD70:DO70" si="213">0.15*1440/12</f>
        <v>18</v>
      </c>
      <c r="DE70" s="43">
        <f t="shared" si="213"/>
        <v>18</v>
      </c>
      <c r="DF70" s="43">
        <f t="shared" si="213"/>
        <v>18</v>
      </c>
      <c r="DG70" s="43">
        <f t="shared" si="213"/>
        <v>18</v>
      </c>
      <c r="DH70" s="43">
        <f t="shared" si="213"/>
        <v>18</v>
      </c>
      <c r="DI70" s="43">
        <f t="shared" si="213"/>
        <v>18</v>
      </c>
      <c r="DJ70" s="43">
        <f t="shared" si="213"/>
        <v>18</v>
      </c>
      <c r="DK70" s="43">
        <f t="shared" si="213"/>
        <v>18</v>
      </c>
      <c r="DL70" s="43">
        <f t="shared" si="213"/>
        <v>18</v>
      </c>
      <c r="DM70" s="43">
        <f t="shared" si="213"/>
        <v>18</v>
      </c>
      <c r="DN70" s="43">
        <f t="shared" si="213"/>
        <v>18</v>
      </c>
      <c r="DO70" s="43">
        <f t="shared" si="213"/>
        <v>18</v>
      </c>
      <c r="DP70" s="16">
        <f t="shared" si="207"/>
        <v>216</v>
      </c>
      <c r="DQ70" s="41"/>
      <c r="DR70" s="41"/>
      <c r="DS70" s="41"/>
      <c r="DT70" s="41"/>
      <c r="DU70" s="41"/>
      <c r="DV70" s="41"/>
      <c r="DW70" s="41"/>
      <c r="DX70" s="41"/>
      <c r="DY70" s="41"/>
      <c r="DZ70" s="41"/>
      <c r="EA70" s="41"/>
      <c r="EB70" s="41"/>
      <c r="EC70" s="16">
        <f t="shared" si="208"/>
        <v>0</v>
      </c>
      <c r="ED70" s="41"/>
      <c r="EE70" s="41"/>
      <c r="EF70" s="41"/>
      <c r="EG70" s="41"/>
      <c r="EH70" s="41"/>
      <c r="EI70" s="41"/>
      <c r="EJ70" s="41"/>
      <c r="EK70" s="41"/>
      <c r="EL70" s="41"/>
      <c r="EM70" s="41"/>
      <c r="EN70" s="41"/>
      <c r="EO70" s="41"/>
      <c r="EP70" s="17">
        <f t="shared" si="209"/>
        <v>0</v>
      </c>
    </row>
    <row r="72" spans="1:146" ht="16" x14ac:dyDescent="0.2">
      <c r="A72" s="63"/>
      <c r="B72" s="64" t="s">
        <v>268</v>
      </c>
      <c r="C72" s="64" t="s">
        <v>269</v>
      </c>
      <c r="D72" s="65"/>
      <c r="E72" s="65"/>
      <c r="F72" s="66"/>
      <c r="G72" s="67">
        <f t="shared" ref="G72:AL72" si="214">SUM(G2:G70)</f>
        <v>63.95</v>
      </c>
      <c r="H72" s="67">
        <f t="shared" si="214"/>
        <v>50.274999999999999</v>
      </c>
      <c r="I72" s="67">
        <f t="shared" si="214"/>
        <v>13.675000000000001</v>
      </c>
      <c r="J72" s="67">
        <f t="shared" si="214"/>
        <v>35.851930555555555</v>
      </c>
      <c r="K72" s="67">
        <f t="shared" si="214"/>
        <v>13.788208333333332</v>
      </c>
      <c r="L72" s="68">
        <f t="shared" si="214"/>
        <v>99360</v>
      </c>
      <c r="M72" s="68">
        <f t="shared" si="214"/>
        <v>72396</v>
      </c>
      <c r="N72" s="68">
        <f t="shared" si="214"/>
        <v>71481.8</v>
      </c>
      <c r="O72" s="69">
        <f t="shared" si="214"/>
        <v>51626.78</v>
      </c>
      <c r="P72" s="69">
        <f t="shared" si="214"/>
        <v>2840.1233333333334</v>
      </c>
      <c r="Q72" s="69">
        <f t="shared" si="214"/>
        <v>2840.1233333333334</v>
      </c>
      <c r="R72" s="69">
        <f t="shared" si="214"/>
        <v>2827.1233333333334</v>
      </c>
      <c r="S72" s="69">
        <f t="shared" si="214"/>
        <v>2705.84</v>
      </c>
      <c r="T72" s="69">
        <f t="shared" si="214"/>
        <v>2705.84</v>
      </c>
      <c r="U72" s="69">
        <f t="shared" si="214"/>
        <v>2705.84</v>
      </c>
      <c r="V72" s="69">
        <f t="shared" si="214"/>
        <v>2660.0066666666671</v>
      </c>
      <c r="W72" s="69">
        <f t="shared" si="214"/>
        <v>2660.0066666666671</v>
      </c>
      <c r="X72" s="69">
        <f t="shared" si="214"/>
        <v>2660.0066666666671</v>
      </c>
      <c r="Y72" s="69">
        <f t="shared" si="214"/>
        <v>2679.9566666666669</v>
      </c>
      <c r="Z72" s="69">
        <f t="shared" si="214"/>
        <v>2679.9566666666669</v>
      </c>
      <c r="AA72" s="69">
        <f t="shared" si="214"/>
        <v>2679.9566666666669</v>
      </c>
      <c r="AB72" s="69">
        <f t="shared" si="214"/>
        <v>32644.78</v>
      </c>
      <c r="AC72" s="69">
        <f t="shared" si="214"/>
        <v>978.83333333333326</v>
      </c>
      <c r="AD72" s="69">
        <f t="shared" si="214"/>
        <v>978.83333333333326</v>
      </c>
      <c r="AE72" s="69">
        <f t="shared" si="214"/>
        <v>978.83333333333326</v>
      </c>
      <c r="AF72" s="69">
        <f t="shared" si="214"/>
        <v>978.83333333333326</v>
      </c>
      <c r="AG72" s="69">
        <f t="shared" si="214"/>
        <v>978.83333333333326</v>
      </c>
      <c r="AH72" s="69">
        <f t="shared" si="214"/>
        <v>978.83333333333326</v>
      </c>
      <c r="AI72" s="69">
        <f t="shared" si="214"/>
        <v>1010.8333333333333</v>
      </c>
      <c r="AJ72" s="69">
        <f t="shared" si="214"/>
        <v>1010.8333333333333</v>
      </c>
      <c r="AK72" s="69">
        <f t="shared" si="214"/>
        <v>1010.8333333333333</v>
      </c>
      <c r="AL72" s="69">
        <f t="shared" si="214"/>
        <v>1010.8333333333333</v>
      </c>
      <c r="AM72" s="69">
        <f t="shared" ref="AM72:BR72" si="215">SUM(AM2:AM70)</f>
        <v>1010.8333333333333</v>
      </c>
      <c r="AN72" s="69">
        <f t="shared" si="215"/>
        <v>1010.8333333333333</v>
      </c>
      <c r="AO72" s="69">
        <f t="shared" si="215"/>
        <v>11938</v>
      </c>
      <c r="AP72" s="69">
        <f t="shared" si="215"/>
        <v>219</v>
      </c>
      <c r="AQ72" s="69">
        <f t="shared" si="215"/>
        <v>219</v>
      </c>
      <c r="AR72" s="69">
        <f t="shared" si="215"/>
        <v>219</v>
      </c>
      <c r="AS72" s="69">
        <f t="shared" si="215"/>
        <v>219</v>
      </c>
      <c r="AT72" s="69">
        <f t="shared" si="215"/>
        <v>219</v>
      </c>
      <c r="AU72" s="69">
        <f t="shared" si="215"/>
        <v>219</v>
      </c>
      <c r="AV72" s="69">
        <f t="shared" si="215"/>
        <v>219</v>
      </c>
      <c r="AW72" s="69">
        <f t="shared" si="215"/>
        <v>219</v>
      </c>
      <c r="AX72" s="69">
        <f t="shared" si="215"/>
        <v>219</v>
      </c>
      <c r="AY72" s="69">
        <f t="shared" si="215"/>
        <v>219</v>
      </c>
      <c r="AZ72" s="69">
        <f t="shared" si="215"/>
        <v>219</v>
      </c>
      <c r="BA72" s="69">
        <f t="shared" si="215"/>
        <v>219</v>
      </c>
      <c r="BB72" s="69">
        <f t="shared" si="215"/>
        <v>2628</v>
      </c>
      <c r="BC72" s="69">
        <f t="shared" si="215"/>
        <v>144</v>
      </c>
      <c r="BD72" s="69">
        <f t="shared" si="215"/>
        <v>144</v>
      </c>
      <c r="BE72" s="69">
        <f t="shared" si="215"/>
        <v>144</v>
      </c>
      <c r="BF72" s="69">
        <f t="shared" si="215"/>
        <v>144</v>
      </c>
      <c r="BG72" s="69">
        <f t="shared" si="215"/>
        <v>144</v>
      </c>
      <c r="BH72" s="69">
        <f t="shared" si="215"/>
        <v>144</v>
      </c>
      <c r="BI72" s="69">
        <f t="shared" si="215"/>
        <v>132</v>
      </c>
      <c r="BJ72" s="69">
        <f t="shared" si="215"/>
        <v>132</v>
      </c>
      <c r="BK72" s="69">
        <f t="shared" si="215"/>
        <v>132</v>
      </c>
      <c r="BL72" s="69">
        <f t="shared" si="215"/>
        <v>132</v>
      </c>
      <c r="BM72" s="69">
        <f t="shared" si="215"/>
        <v>132</v>
      </c>
      <c r="BN72" s="69">
        <f t="shared" si="215"/>
        <v>132</v>
      </c>
      <c r="BO72" s="69">
        <f t="shared" si="215"/>
        <v>1656</v>
      </c>
      <c r="BP72" s="69">
        <f t="shared" si="215"/>
        <v>132.5</v>
      </c>
      <c r="BQ72" s="69">
        <f t="shared" si="215"/>
        <v>132.5</v>
      </c>
      <c r="BR72" s="69">
        <f t="shared" si="215"/>
        <v>132.5</v>
      </c>
      <c r="BS72" s="69">
        <f t="shared" ref="BS72:CX72" si="216">SUM(BS2:BS70)</f>
        <v>132.5</v>
      </c>
      <c r="BT72" s="69">
        <f t="shared" si="216"/>
        <v>132.5</v>
      </c>
      <c r="BU72" s="69">
        <f t="shared" si="216"/>
        <v>132.5</v>
      </c>
      <c r="BV72" s="69">
        <f t="shared" si="216"/>
        <v>132.5</v>
      </c>
      <c r="BW72" s="69">
        <f t="shared" si="216"/>
        <v>132.5</v>
      </c>
      <c r="BX72" s="69">
        <f t="shared" si="216"/>
        <v>132.5</v>
      </c>
      <c r="BY72" s="69">
        <f t="shared" si="216"/>
        <v>132.5</v>
      </c>
      <c r="BZ72" s="69">
        <f t="shared" si="216"/>
        <v>132.5</v>
      </c>
      <c r="CA72" s="69">
        <f t="shared" si="216"/>
        <v>132.5</v>
      </c>
      <c r="CB72" s="69">
        <f t="shared" si="216"/>
        <v>1590</v>
      </c>
      <c r="CC72" s="69">
        <f t="shared" si="216"/>
        <v>118</v>
      </c>
      <c r="CD72" s="69">
        <f t="shared" si="216"/>
        <v>118</v>
      </c>
      <c r="CE72" s="69">
        <f t="shared" si="216"/>
        <v>118</v>
      </c>
      <c r="CF72" s="69">
        <f t="shared" si="216"/>
        <v>101.33333333333334</v>
      </c>
      <c r="CG72" s="69">
        <f t="shared" si="216"/>
        <v>101.33333333333334</v>
      </c>
      <c r="CH72" s="69">
        <f t="shared" si="216"/>
        <v>101.33333333333334</v>
      </c>
      <c r="CI72" s="69">
        <f t="shared" si="216"/>
        <v>85.333333333333329</v>
      </c>
      <c r="CJ72" s="69">
        <f t="shared" si="216"/>
        <v>85.333333333333329</v>
      </c>
      <c r="CK72" s="69">
        <f t="shared" si="216"/>
        <v>85.333333333333329</v>
      </c>
      <c r="CL72" s="69">
        <f t="shared" si="216"/>
        <v>85.333333333333329</v>
      </c>
      <c r="CM72" s="69">
        <f t="shared" si="216"/>
        <v>85.333333333333329</v>
      </c>
      <c r="CN72" s="69">
        <f t="shared" si="216"/>
        <v>85.333333333333329</v>
      </c>
      <c r="CO72" s="69">
        <f t="shared" si="216"/>
        <v>1170</v>
      </c>
      <c r="CP72" s="69">
        <f t="shared" si="216"/>
        <v>19855.020000000004</v>
      </c>
      <c r="CQ72" s="69">
        <f t="shared" si="216"/>
        <v>646.33333333333337</v>
      </c>
      <c r="CR72" s="69">
        <f t="shared" si="216"/>
        <v>646.33333333333337</v>
      </c>
      <c r="CS72" s="69">
        <f t="shared" si="216"/>
        <v>646.33333333333337</v>
      </c>
      <c r="CT72" s="69">
        <f t="shared" si="216"/>
        <v>646.33333333333337</v>
      </c>
      <c r="CU72" s="69">
        <f t="shared" si="216"/>
        <v>646.33333333333337</v>
      </c>
      <c r="CV72" s="69">
        <f t="shared" si="216"/>
        <v>646.33333333333337</v>
      </c>
      <c r="CW72" s="69">
        <f t="shared" si="216"/>
        <v>638.33333333333337</v>
      </c>
      <c r="CX72" s="69">
        <f t="shared" si="216"/>
        <v>638.33333333333337</v>
      </c>
      <c r="CY72" s="69">
        <f t="shared" ref="CY72:ED72" si="217">SUM(CY2:CY70)</f>
        <v>638.33333333333337</v>
      </c>
      <c r="CZ72" s="69">
        <f t="shared" si="217"/>
        <v>638.33333333333337</v>
      </c>
      <c r="DA72" s="69">
        <f t="shared" si="217"/>
        <v>638.33333333333337</v>
      </c>
      <c r="DB72" s="69">
        <f t="shared" si="217"/>
        <v>638.33333333333337</v>
      </c>
      <c r="DC72" s="69">
        <f t="shared" si="217"/>
        <v>7708</v>
      </c>
      <c r="DD72" s="69">
        <f t="shared" si="217"/>
        <v>57.75</v>
      </c>
      <c r="DE72" s="69">
        <f t="shared" si="217"/>
        <v>57.75</v>
      </c>
      <c r="DF72" s="69">
        <f t="shared" si="217"/>
        <v>57.75</v>
      </c>
      <c r="DG72" s="69">
        <f t="shared" si="217"/>
        <v>57.75</v>
      </c>
      <c r="DH72" s="69">
        <f t="shared" si="217"/>
        <v>57.75</v>
      </c>
      <c r="DI72" s="69">
        <f t="shared" si="217"/>
        <v>57.75</v>
      </c>
      <c r="DJ72" s="69">
        <f t="shared" si="217"/>
        <v>57.75</v>
      </c>
      <c r="DK72" s="69">
        <f t="shared" si="217"/>
        <v>57.75</v>
      </c>
      <c r="DL72" s="69">
        <f t="shared" si="217"/>
        <v>57.75</v>
      </c>
      <c r="DM72" s="69">
        <f t="shared" si="217"/>
        <v>57.75</v>
      </c>
      <c r="DN72" s="69">
        <f t="shared" si="217"/>
        <v>57.75</v>
      </c>
      <c r="DO72" s="69">
        <f t="shared" si="217"/>
        <v>57.75</v>
      </c>
      <c r="DP72" s="69">
        <f t="shared" si="217"/>
        <v>693</v>
      </c>
      <c r="DQ72" s="69">
        <f t="shared" si="217"/>
        <v>494.08333333333331</v>
      </c>
      <c r="DR72" s="69">
        <f t="shared" si="217"/>
        <v>494.08333333333331</v>
      </c>
      <c r="DS72" s="69">
        <f t="shared" si="217"/>
        <v>489.83333333333331</v>
      </c>
      <c r="DT72" s="69">
        <f t="shared" si="217"/>
        <v>487.83333333333331</v>
      </c>
      <c r="DU72" s="69">
        <f t="shared" si="217"/>
        <v>487.83333333333331</v>
      </c>
      <c r="DV72" s="69">
        <f t="shared" si="217"/>
        <v>487.83333333333331</v>
      </c>
      <c r="DW72" s="69">
        <f t="shared" si="217"/>
        <v>503.83333333333331</v>
      </c>
      <c r="DX72" s="69">
        <f t="shared" si="217"/>
        <v>503.83333333333331</v>
      </c>
      <c r="DY72" s="69">
        <f t="shared" si="217"/>
        <v>503.83333333333331</v>
      </c>
      <c r="DZ72" s="69">
        <f t="shared" si="217"/>
        <v>503.83333333333331</v>
      </c>
      <c r="EA72" s="69">
        <f t="shared" si="217"/>
        <v>503.83333333333331</v>
      </c>
      <c r="EB72" s="69">
        <f t="shared" si="217"/>
        <v>503.83333333333331</v>
      </c>
      <c r="EC72" s="69">
        <f t="shared" si="217"/>
        <v>5964.5</v>
      </c>
      <c r="ED72" s="69">
        <f t="shared" si="217"/>
        <v>492.46</v>
      </c>
      <c r="EE72" s="69">
        <f t="shared" ref="EE72:EP72" si="218">SUM(EE2:EE70)</f>
        <v>492.46</v>
      </c>
      <c r="EF72" s="69">
        <f t="shared" si="218"/>
        <v>492.46</v>
      </c>
      <c r="EG72" s="69">
        <f t="shared" si="218"/>
        <v>492.46</v>
      </c>
      <c r="EH72" s="69">
        <f t="shared" si="218"/>
        <v>492.46</v>
      </c>
      <c r="EI72" s="69">
        <f t="shared" si="218"/>
        <v>492.46</v>
      </c>
      <c r="EJ72" s="69">
        <f t="shared" si="218"/>
        <v>422.46</v>
      </c>
      <c r="EK72" s="69">
        <f t="shared" si="218"/>
        <v>422.46</v>
      </c>
      <c r="EL72" s="69">
        <f t="shared" si="218"/>
        <v>422.46</v>
      </c>
      <c r="EM72" s="69">
        <f t="shared" si="218"/>
        <v>422.46</v>
      </c>
      <c r="EN72" s="69">
        <f t="shared" si="218"/>
        <v>422.46</v>
      </c>
      <c r="EO72" s="69">
        <f t="shared" si="218"/>
        <v>422.46</v>
      </c>
      <c r="EP72" s="70">
        <f t="shared" si="218"/>
        <v>5489.52</v>
      </c>
    </row>
    <row r="74" spans="1:146" ht="16" x14ac:dyDescent="0.2">
      <c r="A74" s="120" t="e" cm="1">
        <f t="array" ref="A74">_xlfn.XLOOKUP(B74&amp;C74,#REF! &amp;#REF!,#REF!)</f>
        <v>#REF!</v>
      </c>
      <c r="B74" s="32" t="s">
        <v>270</v>
      </c>
      <c r="C74" s="32" t="s">
        <v>271</v>
      </c>
      <c r="D74" s="33" t="s">
        <v>272</v>
      </c>
      <c r="F74" s="34" t="s">
        <v>273</v>
      </c>
      <c r="G74" s="29">
        <v>1</v>
      </c>
      <c r="H74" s="29">
        <v>0.5</v>
      </c>
      <c r="I74" s="3">
        <f>+G74-H74</f>
        <v>0.5</v>
      </c>
      <c r="J74" s="3">
        <f>+O74/M74*H74</f>
        <v>0.75</v>
      </c>
      <c r="K74" s="3">
        <f>+CP74/M74*H74</f>
        <v>0</v>
      </c>
      <c r="L74" s="4">
        <v>900</v>
      </c>
      <c r="M74" s="4">
        <f>+H74*L74</f>
        <v>450</v>
      </c>
      <c r="N74" s="5">
        <f>+O74+CP74</f>
        <v>675</v>
      </c>
      <c r="O74" s="9">
        <f>+AB74+AO74+BB74+BO74+CB74+CO74</f>
        <v>675</v>
      </c>
      <c r="P74" s="35">
        <f t="shared" ref="P74:U74" si="219">0.5*900/12</f>
        <v>37.5</v>
      </c>
      <c r="Q74" s="35">
        <f t="shared" si="219"/>
        <v>37.5</v>
      </c>
      <c r="R74" s="35">
        <f t="shared" si="219"/>
        <v>37.5</v>
      </c>
      <c r="S74" s="35">
        <f t="shared" si="219"/>
        <v>37.5</v>
      </c>
      <c r="T74" s="35">
        <f t="shared" si="219"/>
        <v>37.5</v>
      </c>
      <c r="U74" s="35">
        <f t="shared" si="219"/>
        <v>37.5</v>
      </c>
      <c r="V74" s="35">
        <f t="shared" ref="V74:AA74" si="220">900/12</f>
        <v>75</v>
      </c>
      <c r="W74" s="35">
        <f t="shared" si="220"/>
        <v>75</v>
      </c>
      <c r="X74" s="35">
        <f t="shared" si="220"/>
        <v>75</v>
      </c>
      <c r="Y74" s="35">
        <f t="shared" si="220"/>
        <v>75</v>
      </c>
      <c r="Z74" s="35">
        <f t="shared" si="220"/>
        <v>75</v>
      </c>
      <c r="AA74" s="35">
        <f t="shared" si="220"/>
        <v>75</v>
      </c>
      <c r="AB74" s="9">
        <f>SUM(P74:AA74)</f>
        <v>675</v>
      </c>
      <c r="AO74" s="9">
        <f>SUM(AC74:AN74)</f>
        <v>0</v>
      </c>
      <c r="BB74" s="6">
        <f>SUM(AP74:BA74)</f>
        <v>0</v>
      </c>
      <c r="BO74" s="6">
        <f>SUM(BC74:BN74)</f>
        <v>0</v>
      </c>
      <c r="CB74" s="6">
        <f>SUM(BP74:CA74)</f>
        <v>0</v>
      </c>
      <c r="CO74" s="9">
        <f>SUM(CC74:CN74)</f>
        <v>0</v>
      </c>
      <c r="CP74" s="6">
        <f>+DC74+DP74+EC74+EP74</f>
        <v>0</v>
      </c>
      <c r="DC74" s="6">
        <f>SUM(CQ74:DB74)</f>
        <v>0</v>
      </c>
      <c r="DP74" s="2">
        <f>SUM(DD74:DO74)</f>
        <v>0</v>
      </c>
      <c r="EC74" s="2">
        <f>SUM(DQ74:EB74)</f>
        <v>0</v>
      </c>
      <c r="EP74" s="2">
        <f>SUM(ED74:EO74)</f>
        <v>0</v>
      </c>
    </row>
    <row r="75" spans="1:146" ht="16" x14ac:dyDescent="0.2">
      <c r="A75" s="120" t="e" cm="1">
        <f t="array" ref="A75">_xlfn.XLOOKUP(B75&amp;C75,#REF! &amp;#REF!,#REF!)</f>
        <v>#REF!</v>
      </c>
      <c r="B75" s="32" t="s">
        <v>274</v>
      </c>
      <c r="C75" s="32" t="s">
        <v>275</v>
      </c>
      <c r="D75" s="33" t="s">
        <v>272</v>
      </c>
      <c r="F75" s="34" t="s">
        <v>276</v>
      </c>
      <c r="G75" s="29">
        <v>0.5</v>
      </c>
      <c r="H75" s="29">
        <f>0.5*0.5</f>
        <v>0.25</v>
      </c>
      <c r="I75" s="3">
        <f>+G75-H75</f>
        <v>0.25</v>
      </c>
      <c r="J75" s="3">
        <f>+O75/M75*H75</f>
        <v>0.25</v>
      </c>
      <c r="K75" s="3">
        <f>+CP75/M75*H75</f>
        <v>0</v>
      </c>
      <c r="L75" s="4">
        <v>900</v>
      </c>
      <c r="M75" s="4">
        <f>+H75*L75</f>
        <v>225</v>
      </c>
      <c r="N75" s="5">
        <f>+O75+CP75</f>
        <v>225</v>
      </c>
      <c r="O75" s="9">
        <f>+AB75+AO75+BB75+BO75+CB75+CO75</f>
        <v>225</v>
      </c>
      <c r="V75" s="35">
        <f t="shared" ref="V75:AA76" si="221">0.5*900/12</f>
        <v>37.5</v>
      </c>
      <c r="W75" s="35">
        <f t="shared" si="221"/>
        <v>37.5</v>
      </c>
      <c r="X75" s="35">
        <f t="shared" si="221"/>
        <v>37.5</v>
      </c>
      <c r="Y75" s="35">
        <f t="shared" si="221"/>
        <v>37.5</v>
      </c>
      <c r="Z75" s="35">
        <f t="shared" si="221"/>
        <v>37.5</v>
      </c>
      <c r="AA75" s="35">
        <f t="shared" si="221"/>
        <v>37.5</v>
      </c>
      <c r="AB75" s="9">
        <f>SUM(P75:AA75)</f>
        <v>225</v>
      </c>
      <c r="AO75" s="9">
        <f>SUM(AC75:AN75)</f>
        <v>0</v>
      </c>
      <c r="BB75" s="6">
        <f>SUM(AP75:BA75)</f>
        <v>0</v>
      </c>
      <c r="BO75" s="6">
        <f>SUM(BC75:BN75)</f>
        <v>0</v>
      </c>
      <c r="CB75" s="6">
        <f>SUM(BP75:CA75)</f>
        <v>0</v>
      </c>
      <c r="CO75" s="9">
        <f>SUM(CC75:CN75)</f>
        <v>0</v>
      </c>
      <c r="CP75" s="6">
        <f>+DC75+DP75+EC75+EP75</f>
        <v>0</v>
      </c>
      <c r="DC75" s="6">
        <f>SUM(CQ75:DB75)</f>
        <v>0</v>
      </c>
      <c r="DP75" s="2">
        <f>SUM(DD75:DO75)</f>
        <v>0</v>
      </c>
      <c r="EC75" s="2">
        <f>SUM(DQ75:EB75)</f>
        <v>0</v>
      </c>
      <c r="EP75" s="2">
        <f>SUM(ED75:EO75)</f>
        <v>0</v>
      </c>
    </row>
    <row r="76" spans="1:146" ht="16" x14ac:dyDescent="0.2">
      <c r="A76" s="120" t="e" cm="1">
        <f t="array" ref="A76">_xlfn.XLOOKUP(B76&amp;C76,#REF! &amp;#REF!,#REF!)</f>
        <v>#REF!</v>
      </c>
      <c r="B76" s="32" t="s">
        <v>277</v>
      </c>
      <c r="C76" s="32" t="s">
        <v>278</v>
      </c>
      <c r="D76" s="33" t="s">
        <v>279</v>
      </c>
      <c r="F76" s="34" t="s">
        <v>280</v>
      </c>
      <c r="G76" s="29">
        <v>0.5</v>
      </c>
      <c r="H76" s="29">
        <v>0.25</v>
      </c>
      <c r="I76" s="3">
        <f>+G76-H76</f>
        <v>0.25</v>
      </c>
      <c r="J76" s="3">
        <f>+O76/M76*H76</f>
        <v>0.25</v>
      </c>
      <c r="K76" s="3">
        <f>+CP76/M76*H76</f>
        <v>0</v>
      </c>
      <c r="L76" s="4">
        <v>900</v>
      </c>
      <c r="M76" s="4">
        <f>+H76*L76</f>
        <v>225</v>
      </c>
      <c r="N76" s="5">
        <f>+O76+CP76</f>
        <v>225</v>
      </c>
      <c r="O76" s="9">
        <f>+AB76+AO76+BB76+BO76+CB76+CO76</f>
        <v>225</v>
      </c>
      <c r="V76" s="35">
        <f t="shared" si="221"/>
        <v>37.5</v>
      </c>
      <c r="W76" s="35">
        <f t="shared" si="221"/>
        <v>37.5</v>
      </c>
      <c r="X76" s="35">
        <f t="shared" si="221"/>
        <v>37.5</v>
      </c>
      <c r="Y76" s="35">
        <f t="shared" si="221"/>
        <v>37.5</v>
      </c>
      <c r="Z76" s="35">
        <f t="shared" si="221"/>
        <v>37.5</v>
      </c>
      <c r="AA76" s="35">
        <f t="shared" si="221"/>
        <v>37.5</v>
      </c>
      <c r="AB76" s="9">
        <f>SUM(P76:AA76)</f>
        <v>225</v>
      </c>
      <c r="AO76" s="9">
        <f>SUM(AC76:AN76)</f>
        <v>0</v>
      </c>
      <c r="BB76" s="6">
        <f>SUM(AP76:BA76)</f>
        <v>0</v>
      </c>
      <c r="BO76" s="6">
        <f>SUM(BC76:BN76)</f>
        <v>0</v>
      </c>
      <c r="CB76" s="6">
        <f>SUM(BP76:CA76)</f>
        <v>0</v>
      </c>
      <c r="CO76" s="9">
        <f>SUM(CC76:CN76)</f>
        <v>0</v>
      </c>
      <c r="CP76" s="6">
        <f>+DC76+DP76+EC76+EP76</f>
        <v>0</v>
      </c>
      <c r="DC76" s="6">
        <f>SUM(CQ76:DB76)</f>
        <v>0</v>
      </c>
      <c r="DP76" s="2">
        <f>SUM(DD76:DO76)</f>
        <v>0</v>
      </c>
      <c r="EC76" s="2">
        <f>SUM(DQ76:EB76)</f>
        <v>0</v>
      </c>
      <c r="EP76" s="2">
        <f>SUM(ED76:EO76)</f>
        <v>0</v>
      </c>
    </row>
    <row r="77" spans="1:146" ht="16" x14ac:dyDescent="0.2">
      <c r="A77" s="120" t="e" cm="1">
        <f t="array" ref="A77">_xlfn.XLOOKUP(B77&amp;C77,#REF! &amp;#REF!,#REF!)</f>
        <v>#REF!</v>
      </c>
      <c r="B77" s="32" t="s">
        <v>281</v>
      </c>
      <c r="C77" s="32" t="s">
        <v>282</v>
      </c>
      <c r="D77" s="33" t="s">
        <v>283</v>
      </c>
      <c r="F77" s="34" t="s">
        <v>284</v>
      </c>
      <c r="L77" s="114">
        <v>450</v>
      </c>
      <c r="V77" s="35">
        <f>450/12</f>
        <v>37.5</v>
      </c>
      <c r="W77" s="35">
        <f t="shared" ref="W77:AA77" si="222">450/12</f>
        <v>37.5</v>
      </c>
      <c r="X77" s="35">
        <f t="shared" si="222"/>
        <v>37.5</v>
      </c>
      <c r="Y77" s="35">
        <f t="shared" si="222"/>
        <v>37.5</v>
      </c>
      <c r="Z77" s="35">
        <f t="shared" si="222"/>
        <v>37.5</v>
      </c>
      <c r="AA77" s="35">
        <f t="shared" si="222"/>
        <v>37.5</v>
      </c>
      <c r="AB77" s="9">
        <f>SUM(P77:AA77)</f>
        <v>225</v>
      </c>
    </row>
    <row r="78" spans="1:146" ht="16" x14ac:dyDescent="0.2">
      <c r="A78" s="120" t="e" cm="1">
        <f t="array" ref="A78">_xlfn.XLOOKUP(B78&amp;C78,#REF! &amp;#REF!,#REF!)</f>
        <v>#REF!</v>
      </c>
      <c r="B78" s="32" t="s">
        <v>285</v>
      </c>
      <c r="C78" s="32" t="s">
        <v>286</v>
      </c>
      <c r="D78" s="33" t="s">
        <v>283</v>
      </c>
      <c r="F78" s="34" t="s">
        <v>287</v>
      </c>
      <c r="G78" s="29">
        <v>0.5</v>
      </c>
      <c r="H78" s="29">
        <v>0.5</v>
      </c>
      <c r="I78" s="3">
        <f t="shared" ref="I78:I83" si="223">+G78-H78</f>
        <v>0</v>
      </c>
      <c r="J78" s="3">
        <f t="shared" ref="J78:J83" si="224">+O78/M78*H78</f>
        <v>0.5</v>
      </c>
      <c r="K78" s="3">
        <f t="shared" ref="K78:K83" si="225">+CP78/M78*H78</f>
        <v>0</v>
      </c>
      <c r="L78" s="4">
        <v>450</v>
      </c>
      <c r="M78" s="4">
        <f t="shared" ref="M78:M83" si="226">+H78*L78</f>
        <v>225</v>
      </c>
      <c r="N78" s="5">
        <f t="shared" ref="N78:N83" si="227">+O78+CP78</f>
        <v>225</v>
      </c>
      <c r="O78" s="9">
        <f t="shared" ref="O78:O83" si="228">+AB78+AO78+BB78+BO78+CB78+CO78</f>
        <v>225</v>
      </c>
      <c r="P78" s="35">
        <f>450/12</f>
        <v>37.5</v>
      </c>
      <c r="Q78" s="35">
        <f t="shared" ref="Q78:U78" si="229">450/12</f>
        <v>37.5</v>
      </c>
      <c r="R78" s="35">
        <f t="shared" si="229"/>
        <v>37.5</v>
      </c>
      <c r="S78" s="35">
        <f t="shared" si="229"/>
        <v>37.5</v>
      </c>
      <c r="T78" s="35">
        <f t="shared" si="229"/>
        <v>37.5</v>
      </c>
      <c r="U78" s="35">
        <f t="shared" si="229"/>
        <v>37.5</v>
      </c>
      <c r="AB78" s="9">
        <f t="shared" ref="AB78:AB83" si="230">SUM(P78:AA78)</f>
        <v>225</v>
      </c>
      <c r="AO78" s="9">
        <f t="shared" ref="AO78:AO83" si="231">SUM(AC78:AN78)</f>
        <v>0</v>
      </c>
      <c r="BB78" s="6">
        <f t="shared" ref="BB78:BB83" si="232">SUM(AP78:BA78)</f>
        <v>0</v>
      </c>
      <c r="BO78" s="6">
        <f t="shared" ref="BO78:BO83" si="233">SUM(BC78:BN78)</f>
        <v>0</v>
      </c>
      <c r="CB78" s="6">
        <f t="shared" ref="CB78:CB83" si="234">SUM(BP78:CA78)</f>
        <v>0</v>
      </c>
      <c r="CO78" s="9">
        <f t="shared" ref="CO78:CO83" si="235">SUM(CC78:CN78)</f>
        <v>0</v>
      </c>
      <c r="CP78" s="6">
        <f t="shared" ref="CP78:CP83" si="236">+DC78+DP78+EC78+EP78</f>
        <v>0</v>
      </c>
      <c r="DC78" s="6">
        <f t="shared" ref="DC78:DC83" si="237">SUM(CQ78:DB78)</f>
        <v>0</v>
      </c>
      <c r="DP78" s="2">
        <f t="shared" ref="DP78:DP83" si="238">SUM(DD78:DO78)</f>
        <v>0</v>
      </c>
      <c r="EC78" s="2">
        <f t="shared" ref="EC78:EC83" si="239">SUM(DQ78:EB78)</f>
        <v>0</v>
      </c>
      <c r="EP78" s="2">
        <f t="shared" ref="EP78:EP83" si="240">SUM(ED78:EO78)</f>
        <v>0</v>
      </c>
    </row>
    <row r="79" spans="1:146" ht="16" x14ac:dyDescent="0.2">
      <c r="A79" s="120" t="e" cm="1">
        <f t="array" ref="A79">_xlfn.XLOOKUP(B79&amp;C79,#REF! &amp;#REF!,#REF!)</f>
        <v>#REF!</v>
      </c>
      <c r="B79" s="32" t="s">
        <v>288</v>
      </c>
      <c r="C79" s="32" t="s">
        <v>289</v>
      </c>
      <c r="D79" s="33" t="s">
        <v>272</v>
      </c>
      <c r="F79" s="115" t="s">
        <v>290</v>
      </c>
      <c r="G79" s="29">
        <v>0.5</v>
      </c>
      <c r="H79" s="29">
        <v>0.5</v>
      </c>
      <c r="I79" s="3">
        <f t="shared" si="223"/>
        <v>0</v>
      </c>
      <c r="J79" s="3">
        <f t="shared" si="224"/>
        <v>0.5</v>
      </c>
      <c r="K79" s="3">
        <f t="shared" si="225"/>
        <v>0</v>
      </c>
      <c r="L79" s="4">
        <v>900</v>
      </c>
      <c r="M79" s="4">
        <f t="shared" si="226"/>
        <v>450</v>
      </c>
      <c r="N79" s="5">
        <f t="shared" si="227"/>
        <v>450</v>
      </c>
      <c r="O79" s="9">
        <f t="shared" si="228"/>
        <v>450</v>
      </c>
      <c r="P79" s="35">
        <f t="shared" ref="P79:U79" si="241">900/12</f>
        <v>75</v>
      </c>
      <c r="Q79" s="35">
        <f t="shared" si="241"/>
        <v>75</v>
      </c>
      <c r="R79" s="35">
        <f t="shared" si="241"/>
        <v>75</v>
      </c>
      <c r="S79" s="35">
        <f t="shared" si="241"/>
        <v>75</v>
      </c>
      <c r="T79" s="35">
        <f t="shared" si="241"/>
        <v>75</v>
      </c>
      <c r="U79" s="35">
        <f t="shared" si="241"/>
        <v>75</v>
      </c>
      <c r="AB79" s="9">
        <f t="shared" si="230"/>
        <v>450</v>
      </c>
      <c r="AO79" s="9">
        <f t="shared" si="231"/>
        <v>0</v>
      </c>
      <c r="BB79" s="6">
        <f t="shared" si="232"/>
        <v>0</v>
      </c>
      <c r="BO79" s="6">
        <f t="shared" si="233"/>
        <v>0</v>
      </c>
      <c r="CB79" s="6">
        <f t="shared" si="234"/>
        <v>0</v>
      </c>
      <c r="CO79" s="9">
        <f t="shared" si="235"/>
        <v>0</v>
      </c>
      <c r="CP79" s="6">
        <f t="shared" si="236"/>
        <v>0</v>
      </c>
      <c r="DC79" s="6">
        <f t="shared" si="237"/>
        <v>0</v>
      </c>
      <c r="DP79" s="2">
        <f t="shared" si="238"/>
        <v>0</v>
      </c>
      <c r="EC79" s="2">
        <f t="shared" si="239"/>
        <v>0</v>
      </c>
      <c r="EP79" s="2">
        <f t="shared" si="240"/>
        <v>0</v>
      </c>
    </row>
    <row r="80" spans="1:146" ht="16" x14ac:dyDescent="0.2">
      <c r="A80" s="120" t="e" cm="1">
        <f t="array" ref="A80">_xlfn.XLOOKUP(B80&amp;C80,#REF! &amp;#REF!,#REF!)</f>
        <v>#REF!</v>
      </c>
      <c r="B80" s="32" t="s">
        <v>291</v>
      </c>
      <c r="C80" s="32" t="s">
        <v>292</v>
      </c>
      <c r="D80" s="33" t="s">
        <v>293</v>
      </c>
      <c r="F80" s="34" t="s">
        <v>294</v>
      </c>
      <c r="G80" s="29">
        <v>1</v>
      </c>
      <c r="H80" s="29">
        <v>0.6</v>
      </c>
      <c r="I80" s="3">
        <f t="shared" si="223"/>
        <v>0.4</v>
      </c>
      <c r="J80" s="3">
        <f t="shared" si="224"/>
        <v>1</v>
      </c>
      <c r="K80" s="3">
        <f t="shared" si="225"/>
        <v>0</v>
      </c>
      <c r="L80" s="4">
        <v>300</v>
      </c>
      <c r="M80" s="4">
        <f t="shared" si="226"/>
        <v>180</v>
      </c>
      <c r="N80" s="5">
        <f t="shared" si="227"/>
        <v>300</v>
      </c>
      <c r="O80" s="9">
        <f t="shared" si="228"/>
        <v>300</v>
      </c>
      <c r="P80" s="35">
        <f>300/12</f>
        <v>25</v>
      </c>
      <c r="Q80" s="35">
        <f t="shared" ref="Q80:AA80" si="242">300/12</f>
        <v>25</v>
      </c>
      <c r="R80" s="35">
        <f t="shared" si="242"/>
        <v>25</v>
      </c>
      <c r="S80" s="35">
        <f t="shared" si="242"/>
        <v>25</v>
      </c>
      <c r="T80" s="35">
        <f t="shared" si="242"/>
        <v>25</v>
      </c>
      <c r="U80" s="35">
        <f t="shared" si="242"/>
        <v>25</v>
      </c>
      <c r="V80" s="35">
        <f t="shared" si="242"/>
        <v>25</v>
      </c>
      <c r="W80" s="35">
        <f t="shared" si="242"/>
        <v>25</v>
      </c>
      <c r="X80" s="35">
        <f t="shared" si="242"/>
        <v>25</v>
      </c>
      <c r="Y80" s="35">
        <f t="shared" si="242"/>
        <v>25</v>
      </c>
      <c r="Z80" s="35">
        <f t="shared" si="242"/>
        <v>25</v>
      </c>
      <c r="AA80" s="35">
        <f t="shared" si="242"/>
        <v>25</v>
      </c>
      <c r="AB80" s="9">
        <f t="shared" si="230"/>
        <v>300</v>
      </c>
      <c r="AO80" s="9">
        <f t="shared" si="231"/>
        <v>0</v>
      </c>
      <c r="BB80" s="6">
        <f t="shared" si="232"/>
        <v>0</v>
      </c>
      <c r="BO80" s="6">
        <f t="shared" si="233"/>
        <v>0</v>
      </c>
      <c r="CB80" s="6">
        <f t="shared" si="234"/>
        <v>0</v>
      </c>
      <c r="CO80" s="9">
        <f t="shared" si="235"/>
        <v>0</v>
      </c>
      <c r="CP80" s="6">
        <f t="shared" si="236"/>
        <v>0</v>
      </c>
      <c r="DC80" s="6">
        <f t="shared" si="237"/>
        <v>0</v>
      </c>
      <c r="DP80" s="2">
        <f t="shared" si="238"/>
        <v>0</v>
      </c>
      <c r="EC80" s="2">
        <f t="shared" si="239"/>
        <v>0</v>
      </c>
      <c r="EP80" s="2">
        <f t="shared" si="240"/>
        <v>0</v>
      </c>
    </row>
    <row r="81" spans="1:146" ht="16" x14ac:dyDescent="0.2">
      <c r="A81" s="120" t="e" cm="1">
        <f t="array" ref="A81">_xlfn.XLOOKUP(B81&amp;C81,#REF! &amp;#REF!,#REF!)</f>
        <v>#REF!</v>
      </c>
      <c r="B81" s="32" t="s">
        <v>203</v>
      </c>
      <c r="C81" s="32" t="s">
        <v>204</v>
      </c>
      <c r="D81" s="33" t="s">
        <v>205</v>
      </c>
      <c r="F81" s="115" t="s">
        <v>295</v>
      </c>
      <c r="G81" s="29">
        <v>0.5</v>
      </c>
      <c r="H81" s="29">
        <v>0.5</v>
      </c>
      <c r="I81" s="3">
        <f t="shared" si="223"/>
        <v>0</v>
      </c>
      <c r="J81" s="3">
        <f t="shared" ref="J81" si="243">+O81/M81*H81</f>
        <v>0.25</v>
      </c>
      <c r="K81" s="3">
        <f t="shared" ref="K81" si="244">+CP81/M81*H81</f>
        <v>0</v>
      </c>
      <c r="L81" s="4">
        <v>900</v>
      </c>
      <c r="M81" s="4">
        <f t="shared" ref="M81" si="245">+H81*L81</f>
        <v>450</v>
      </c>
      <c r="N81" s="5">
        <f t="shared" si="227"/>
        <v>225</v>
      </c>
      <c r="O81" s="9">
        <f t="shared" si="228"/>
        <v>225</v>
      </c>
      <c r="P81" s="35">
        <v>37.5</v>
      </c>
      <c r="Q81" s="35">
        <v>37.5</v>
      </c>
      <c r="R81" s="35">
        <v>37.5</v>
      </c>
      <c r="S81" s="35">
        <v>37.5</v>
      </c>
      <c r="T81" s="35">
        <v>37.5</v>
      </c>
      <c r="U81" s="35">
        <v>37.5</v>
      </c>
      <c r="AB81" s="9">
        <f t="shared" si="230"/>
        <v>225</v>
      </c>
      <c r="AO81" s="9"/>
      <c r="BB81" s="6"/>
      <c r="BO81" s="6"/>
      <c r="CB81" s="6"/>
      <c r="CO81" s="9"/>
      <c r="CP81" s="6"/>
      <c r="DC81" s="6"/>
      <c r="DP81" s="2"/>
      <c r="EC81" s="2"/>
      <c r="EP81" s="2"/>
    </row>
    <row r="82" spans="1:146" ht="16" x14ac:dyDescent="0.2">
      <c r="A82" s="120" t="e" cm="1">
        <f t="array" ref="A82">_xlfn.XLOOKUP(B82&amp;C82,#REF! &amp;#REF!,#REF!)</f>
        <v>#REF!</v>
      </c>
      <c r="B82" s="32" t="s">
        <v>296</v>
      </c>
      <c r="C82" s="32" t="s">
        <v>297</v>
      </c>
      <c r="D82" s="33" t="s">
        <v>279</v>
      </c>
      <c r="F82" s="116" t="s">
        <v>298</v>
      </c>
      <c r="G82" s="29">
        <v>0.5</v>
      </c>
      <c r="H82" s="29">
        <v>0.25</v>
      </c>
      <c r="I82" s="3">
        <f t="shared" si="223"/>
        <v>0.25</v>
      </c>
      <c r="J82" s="3">
        <f t="shared" si="224"/>
        <v>0.25</v>
      </c>
      <c r="K82" s="3">
        <f t="shared" si="225"/>
        <v>0</v>
      </c>
      <c r="L82" s="4">
        <v>900</v>
      </c>
      <c r="M82" s="4">
        <f t="shared" si="226"/>
        <v>225</v>
      </c>
      <c r="N82" s="5">
        <f t="shared" si="227"/>
        <v>225</v>
      </c>
      <c r="O82" s="9">
        <f t="shared" si="228"/>
        <v>225</v>
      </c>
      <c r="P82" s="35">
        <f t="shared" ref="P82:U82" si="246">0.5*900/12</f>
        <v>37.5</v>
      </c>
      <c r="Q82" s="35">
        <f t="shared" si="246"/>
        <v>37.5</v>
      </c>
      <c r="R82" s="35">
        <f t="shared" si="246"/>
        <v>37.5</v>
      </c>
      <c r="S82" s="35">
        <f t="shared" si="246"/>
        <v>37.5</v>
      </c>
      <c r="T82" s="35">
        <f t="shared" si="246"/>
        <v>37.5</v>
      </c>
      <c r="U82" s="35">
        <f t="shared" si="246"/>
        <v>37.5</v>
      </c>
      <c r="AB82" s="9">
        <f t="shared" si="230"/>
        <v>225</v>
      </c>
      <c r="AO82" s="9">
        <f t="shared" si="231"/>
        <v>0</v>
      </c>
      <c r="BB82" s="6">
        <f t="shared" si="232"/>
        <v>0</v>
      </c>
      <c r="BO82" s="6">
        <f t="shared" si="233"/>
        <v>0</v>
      </c>
      <c r="CB82" s="6">
        <f t="shared" si="234"/>
        <v>0</v>
      </c>
      <c r="CO82" s="9">
        <f t="shared" si="235"/>
        <v>0</v>
      </c>
      <c r="CP82" s="6">
        <f t="shared" si="236"/>
        <v>0</v>
      </c>
      <c r="DC82" s="6">
        <f t="shared" si="237"/>
        <v>0</v>
      </c>
      <c r="DP82" s="2">
        <f t="shared" si="238"/>
        <v>0</v>
      </c>
      <c r="EC82" s="2">
        <f t="shared" si="239"/>
        <v>0</v>
      </c>
      <c r="EP82" s="2">
        <f t="shared" si="240"/>
        <v>0</v>
      </c>
    </row>
    <row r="83" spans="1:146" ht="16" x14ac:dyDescent="0.2">
      <c r="A83" s="120" t="e" cm="1">
        <f t="array" ref="A83">_xlfn.XLOOKUP(B83&amp;C83,#REF! &amp;#REF!,#REF!)</f>
        <v>#REF!</v>
      </c>
      <c r="B83" s="32" t="s">
        <v>299</v>
      </c>
      <c r="C83" s="32" t="s">
        <v>300</v>
      </c>
      <c r="D83" s="33" t="s">
        <v>279</v>
      </c>
      <c r="F83" s="116" t="s">
        <v>301</v>
      </c>
      <c r="G83" s="29">
        <f>0.5</f>
        <v>0.5</v>
      </c>
      <c r="H83" s="29">
        <f>0.5*(1/3)</f>
        <v>0.16666666666666666</v>
      </c>
      <c r="I83" s="3">
        <f t="shared" si="223"/>
        <v>0.33333333333333337</v>
      </c>
      <c r="J83" s="3">
        <f t="shared" si="224"/>
        <v>0.16666666666666666</v>
      </c>
      <c r="K83" s="3">
        <f t="shared" si="225"/>
        <v>0</v>
      </c>
      <c r="L83" s="4">
        <v>900</v>
      </c>
      <c r="M83" s="4">
        <f t="shared" si="226"/>
        <v>150</v>
      </c>
      <c r="N83" s="5">
        <f t="shared" si="227"/>
        <v>150</v>
      </c>
      <c r="O83" s="9">
        <f t="shared" si="228"/>
        <v>150</v>
      </c>
      <c r="P83" s="35">
        <f t="shared" ref="P83:U83" si="247">(1/3 * 900)/12</f>
        <v>25</v>
      </c>
      <c r="Q83" s="35">
        <f t="shared" si="247"/>
        <v>25</v>
      </c>
      <c r="R83" s="35">
        <f t="shared" si="247"/>
        <v>25</v>
      </c>
      <c r="S83" s="35">
        <f t="shared" si="247"/>
        <v>25</v>
      </c>
      <c r="T83" s="35">
        <f t="shared" si="247"/>
        <v>25</v>
      </c>
      <c r="U83" s="35">
        <f t="shared" si="247"/>
        <v>25</v>
      </c>
      <c r="AB83" s="9">
        <f t="shared" si="230"/>
        <v>150</v>
      </c>
      <c r="AO83" s="9">
        <f t="shared" si="231"/>
        <v>0</v>
      </c>
      <c r="BB83" s="6">
        <f t="shared" si="232"/>
        <v>0</v>
      </c>
      <c r="BO83" s="6">
        <f t="shared" si="233"/>
        <v>0</v>
      </c>
      <c r="CB83" s="6">
        <f t="shared" si="234"/>
        <v>0</v>
      </c>
      <c r="CO83" s="9">
        <f t="shared" si="235"/>
        <v>0</v>
      </c>
      <c r="CP83" s="6">
        <f t="shared" si="236"/>
        <v>0</v>
      </c>
      <c r="DC83" s="6">
        <f t="shared" si="237"/>
        <v>0</v>
      </c>
      <c r="DP83" s="2">
        <f t="shared" si="238"/>
        <v>0</v>
      </c>
      <c r="EC83" s="2">
        <f t="shared" si="239"/>
        <v>0</v>
      </c>
      <c r="EP83" s="2">
        <f t="shared" si="240"/>
        <v>0</v>
      </c>
    </row>
    <row r="85" spans="1:146" ht="16" x14ac:dyDescent="0.2">
      <c r="A85" s="71"/>
      <c r="B85" s="64" t="s">
        <v>302</v>
      </c>
      <c r="C85" s="64" t="s">
        <v>268</v>
      </c>
      <c r="D85" s="72"/>
      <c r="E85" s="72"/>
      <c r="F85" s="73"/>
      <c r="G85" s="67">
        <f t="shared" ref="G85:M85" si="248">SUM(G74:G82)</f>
        <v>5</v>
      </c>
      <c r="H85" s="67">
        <f t="shared" si="248"/>
        <v>3.35</v>
      </c>
      <c r="I85" s="67">
        <f t="shared" si="248"/>
        <v>1.65</v>
      </c>
      <c r="J85" s="67">
        <f t="shared" si="248"/>
        <v>3.75</v>
      </c>
      <c r="K85" s="67">
        <f t="shared" si="248"/>
        <v>0</v>
      </c>
      <c r="L85" s="68">
        <f t="shared" si="248"/>
        <v>6600</v>
      </c>
      <c r="M85" s="68">
        <f t="shared" si="248"/>
        <v>2430</v>
      </c>
      <c r="N85" s="84"/>
      <c r="O85" s="69">
        <f t="shared" ref="O85:AT85" si="249">SUM(O74:O82)</f>
        <v>2550</v>
      </c>
      <c r="P85" s="69">
        <f t="shared" si="249"/>
        <v>250</v>
      </c>
      <c r="Q85" s="69">
        <f t="shared" si="249"/>
        <v>250</v>
      </c>
      <c r="R85" s="69">
        <f t="shared" si="249"/>
        <v>250</v>
      </c>
      <c r="S85" s="69">
        <f t="shared" si="249"/>
        <v>250</v>
      </c>
      <c r="T85" s="69">
        <f t="shared" si="249"/>
        <v>250</v>
      </c>
      <c r="U85" s="69">
        <f t="shared" si="249"/>
        <v>250</v>
      </c>
      <c r="V85" s="69">
        <f t="shared" si="249"/>
        <v>212.5</v>
      </c>
      <c r="W85" s="69">
        <f t="shared" si="249"/>
        <v>212.5</v>
      </c>
      <c r="X85" s="69">
        <f t="shared" si="249"/>
        <v>212.5</v>
      </c>
      <c r="Y85" s="69">
        <f t="shared" si="249"/>
        <v>212.5</v>
      </c>
      <c r="Z85" s="69">
        <f t="shared" si="249"/>
        <v>212.5</v>
      </c>
      <c r="AA85" s="69">
        <f t="shared" si="249"/>
        <v>212.5</v>
      </c>
      <c r="AB85" s="69">
        <f t="shared" si="249"/>
        <v>2775</v>
      </c>
      <c r="AC85" s="69">
        <f t="shared" si="249"/>
        <v>0</v>
      </c>
      <c r="AD85" s="69">
        <f t="shared" si="249"/>
        <v>0</v>
      </c>
      <c r="AE85" s="69">
        <f t="shared" si="249"/>
        <v>0</v>
      </c>
      <c r="AF85" s="69">
        <f t="shared" si="249"/>
        <v>0</v>
      </c>
      <c r="AG85" s="69">
        <f t="shared" si="249"/>
        <v>0</v>
      </c>
      <c r="AH85" s="69">
        <f t="shared" si="249"/>
        <v>0</v>
      </c>
      <c r="AI85" s="69">
        <f t="shared" si="249"/>
        <v>0</v>
      </c>
      <c r="AJ85" s="69">
        <f t="shared" si="249"/>
        <v>0</v>
      </c>
      <c r="AK85" s="69">
        <f t="shared" si="249"/>
        <v>0</v>
      </c>
      <c r="AL85" s="69">
        <f t="shared" si="249"/>
        <v>0</v>
      </c>
      <c r="AM85" s="69">
        <f t="shared" si="249"/>
        <v>0</v>
      </c>
      <c r="AN85" s="69">
        <f t="shared" si="249"/>
        <v>0</v>
      </c>
      <c r="AO85" s="69">
        <f t="shared" si="249"/>
        <v>0</v>
      </c>
      <c r="AP85" s="69">
        <f t="shared" si="249"/>
        <v>0</v>
      </c>
      <c r="AQ85" s="69">
        <f t="shared" si="249"/>
        <v>0</v>
      </c>
      <c r="AR85" s="69">
        <f t="shared" si="249"/>
        <v>0</v>
      </c>
      <c r="AS85" s="69">
        <f t="shared" si="249"/>
        <v>0</v>
      </c>
      <c r="AT85" s="69">
        <f t="shared" si="249"/>
        <v>0</v>
      </c>
      <c r="AU85" s="69">
        <f t="shared" ref="AU85:BZ85" si="250">SUM(AU74:AU82)</f>
        <v>0</v>
      </c>
      <c r="AV85" s="69">
        <f t="shared" si="250"/>
        <v>0</v>
      </c>
      <c r="AW85" s="69">
        <f t="shared" si="250"/>
        <v>0</v>
      </c>
      <c r="AX85" s="69">
        <f t="shared" si="250"/>
        <v>0</v>
      </c>
      <c r="AY85" s="69">
        <f t="shared" si="250"/>
        <v>0</v>
      </c>
      <c r="AZ85" s="69">
        <f t="shared" si="250"/>
        <v>0</v>
      </c>
      <c r="BA85" s="69">
        <f t="shared" si="250"/>
        <v>0</v>
      </c>
      <c r="BB85" s="69">
        <f t="shared" si="250"/>
        <v>0</v>
      </c>
      <c r="BC85" s="69">
        <f t="shared" si="250"/>
        <v>0</v>
      </c>
      <c r="BD85" s="69">
        <f t="shared" si="250"/>
        <v>0</v>
      </c>
      <c r="BE85" s="69">
        <f t="shared" si="250"/>
        <v>0</v>
      </c>
      <c r="BF85" s="69">
        <f t="shared" si="250"/>
        <v>0</v>
      </c>
      <c r="BG85" s="69">
        <f t="shared" si="250"/>
        <v>0</v>
      </c>
      <c r="BH85" s="69">
        <f t="shared" si="250"/>
        <v>0</v>
      </c>
      <c r="BI85" s="69">
        <f t="shared" si="250"/>
        <v>0</v>
      </c>
      <c r="BJ85" s="69">
        <f t="shared" si="250"/>
        <v>0</v>
      </c>
      <c r="BK85" s="69">
        <f t="shared" si="250"/>
        <v>0</v>
      </c>
      <c r="BL85" s="69">
        <f t="shared" si="250"/>
        <v>0</v>
      </c>
      <c r="BM85" s="69">
        <f t="shared" si="250"/>
        <v>0</v>
      </c>
      <c r="BN85" s="69">
        <f t="shared" si="250"/>
        <v>0</v>
      </c>
      <c r="BO85" s="69">
        <f t="shared" si="250"/>
        <v>0</v>
      </c>
      <c r="BP85" s="69">
        <f t="shared" si="250"/>
        <v>0</v>
      </c>
      <c r="BQ85" s="69">
        <f t="shared" si="250"/>
        <v>0</v>
      </c>
      <c r="BR85" s="69">
        <f t="shared" si="250"/>
        <v>0</v>
      </c>
      <c r="BS85" s="69">
        <f t="shared" si="250"/>
        <v>0</v>
      </c>
      <c r="BT85" s="69">
        <f t="shared" si="250"/>
        <v>0</v>
      </c>
      <c r="BU85" s="69">
        <f t="shared" si="250"/>
        <v>0</v>
      </c>
      <c r="BV85" s="69">
        <f t="shared" si="250"/>
        <v>0</v>
      </c>
      <c r="BW85" s="69">
        <f t="shared" si="250"/>
        <v>0</v>
      </c>
      <c r="BX85" s="69">
        <f t="shared" si="250"/>
        <v>0</v>
      </c>
      <c r="BY85" s="69">
        <f t="shared" si="250"/>
        <v>0</v>
      </c>
      <c r="BZ85" s="69">
        <f t="shared" si="250"/>
        <v>0</v>
      </c>
      <c r="CA85" s="69">
        <f t="shared" ref="CA85:DF85" si="251">SUM(CA74:CA82)</f>
        <v>0</v>
      </c>
      <c r="CB85" s="69">
        <f t="shared" si="251"/>
        <v>0</v>
      </c>
      <c r="CC85" s="69">
        <f t="shared" si="251"/>
        <v>0</v>
      </c>
      <c r="CD85" s="69">
        <f t="shared" si="251"/>
        <v>0</v>
      </c>
      <c r="CE85" s="69">
        <f t="shared" si="251"/>
        <v>0</v>
      </c>
      <c r="CF85" s="69">
        <f t="shared" si="251"/>
        <v>0</v>
      </c>
      <c r="CG85" s="69">
        <f t="shared" si="251"/>
        <v>0</v>
      </c>
      <c r="CH85" s="69">
        <f t="shared" si="251"/>
        <v>0</v>
      </c>
      <c r="CI85" s="69">
        <f t="shared" si="251"/>
        <v>0</v>
      </c>
      <c r="CJ85" s="69">
        <f t="shared" si="251"/>
        <v>0</v>
      </c>
      <c r="CK85" s="69">
        <f t="shared" si="251"/>
        <v>0</v>
      </c>
      <c r="CL85" s="69">
        <f t="shared" si="251"/>
        <v>0</v>
      </c>
      <c r="CM85" s="69">
        <f t="shared" si="251"/>
        <v>0</v>
      </c>
      <c r="CN85" s="69">
        <f t="shared" si="251"/>
        <v>0</v>
      </c>
      <c r="CO85" s="69">
        <f t="shared" si="251"/>
        <v>0</v>
      </c>
      <c r="CP85" s="69">
        <f t="shared" si="251"/>
        <v>0</v>
      </c>
      <c r="CQ85" s="69">
        <f t="shared" si="251"/>
        <v>0</v>
      </c>
      <c r="CR85" s="69">
        <f t="shared" si="251"/>
        <v>0</v>
      </c>
      <c r="CS85" s="69">
        <f t="shared" si="251"/>
        <v>0</v>
      </c>
      <c r="CT85" s="69">
        <f t="shared" si="251"/>
        <v>0</v>
      </c>
      <c r="CU85" s="69">
        <f t="shared" si="251"/>
        <v>0</v>
      </c>
      <c r="CV85" s="69">
        <f t="shared" si="251"/>
        <v>0</v>
      </c>
      <c r="CW85" s="69">
        <f t="shared" si="251"/>
        <v>0</v>
      </c>
      <c r="CX85" s="69">
        <f t="shared" si="251"/>
        <v>0</v>
      </c>
      <c r="CY85" s="69">
        <f t="shared" si="251"/>
        <v>0</v>
      </c>
      <c r="CZ85" s="69">
        <f t="shared" si="251"/>
        <v>0</v>
      </c>
      <c r="DA85" s="69">
        <f t="shared" si="251"/>
        <v>0</v>
      </c>
      <c r="DB85" s="69">
        <f t="shared" si="251"/>
        <v>0</v>
      </c>
      <c r="DC85" s="69">
        <f t="shared" si="251"/>
        <v>0</v>
      </c>
      <c r="DD85" s="69">
        <f t="shared" si="251"/>
        <v>0</v>
      </c>
      <c r="DE85" s="69">
        <f t="shared" si="251"/>
        <v>0</v>
      </c>
      <c r="DF85" s="69">
        <f t="shared" si="251"/>
        <v>0</v>
      </c>
      <c r="DG85" s="69">
        <f t="shared" ref="DG85:EP85" si="252">SUM(DG74:DG82)</f>
        <v>0</v>
      </c>
      <c r="DH85" s="69">
        <f t="shared" si="252"/>
        <v>0</v>
      </c>
      <c r="DI85" s="69">
        <f t="shared" si="252"/>
        <v>0</v>
      </c>
      <c r="DJ85" s="69">
        <f t="shared" si="252"/>
        <v>0</v>
      </c>
      <c r="DK85" s="69">
        <f t="shared" si="252"/>
        <v>0</v>
      </c>
      <c r="DL85" s="69">
        <f t="shared" si="252"/>
        <v>0</v>
      </c>
      <c r="DM85" s="69">
        <f t="shared" si="252"/>
        <v>0</v>
      </c>
      <c r="DN85" s="69">
        <f t="shared" si="252"/>
        <v>0</v>
      </c>
      <c r="DO85" s="69">
        <f t="shared" si="252"/>
        <v>0</v>
      </c>
      <c r="DP85" s="69">
        <f t="shared" si="252"/>
        <v>0</v>
      </c>
      <c r="DQ85" s="69">
        <f t="shared" si="252"/>
        <v>0</v>
      </c>
      <c r="DR85" s="69">
        <f t="shared" si="252"/>
        <v>0</v>
      </c>
      <c r="DS85" s="69">
        <f t="shared" si="252"/>
        <v>0</v>
      </c>
      <c r="DT85" s="69">
        <f t="shared" si="252"/>
        <v>0</v>
      </c>
      <c r="DU85" s="69">
        <f t="shared" si="252"/>
        <v>0</v>
      </c>
      <c r="DV85" s="69">
        <f t="shared" si="252"/>
        <v>0</v>
      </c>
      <c r="DW85" s="69">
        <f t="shared" si="252"/>
        <v>0</v>
      </c>
      <c r="DX85" s="69">
        <f t="shared" si="252"/>
        <v>0</v>
      </c>
      <c r="DY85" s="69">
        <f t="shared" si="252"/>
        <v>0</v>
      </c>
      <c r="DZ85" s="69">
        <f t="shared" si="252"/>
        <v>0</v>
      </c>
      <c r="EA85" s="69">
        <f t="shared" si="252"/>
        <v>0</v>
      </c>
      <c r="EB85" s="69">
        <f t="shared" si="252"/>
        <v>0</v>
      </c>
      <c r="EC85" s="69">
        <f t="shared" si="252"/>
        <v>0</v>
      </c>
      <c r="ED85" s="69">
        <f t="shared" si="252"/>
        <v>0</v>
      </c>
      <c r="EE85" s="69">
        <f t="shared" si="252"/>
        <v>0</v>
      </c>
      <c r="EF85" s="69">
        <f t="shared" si="252"/>
        <v>0</v>
      </c>
      <c r="EG85" s="69">
        <f t="shared" si="252"/>
        <v>0</v>
      </c>
      <c r="EH85" s="69">
        <f t="shared" si="252"/>
        <v>0</v>
      </c>
      <c r="EI85" s="69">
        <f t="shared" si="252"/>
        <v>0</v>
      </c>
      <c r="EJ85" s="69">
        <f t="shared" si="252"/>
        <v>0</v>
      </c>
      <c r="EK85" s="69">
        <f t="shared" si="252"/>
        <v>0</v>
      </c>
      <c r="EL85" s="69">
        <f t="shared" si="252"/>
        <v>0</v>
      </c>
      <c r="EM85" s="69">
        <f t="shared" si="252"/>
        <v>0</v>
      </c>
      <c r="EN85" s="69">
        <f t="shared" si="252"/>
        <v>0</v>
      </c>
      <c r="EO85" s="69">
        <f t="shared" si="252"/>
        <v>0</v>
      </c>
      <c r="EP85" s="70">
        <f t="shared" si="252"/>
        <v>0</v>
      </c>
    </row>
    <row r="87" spans="1:146" s="38" customFormat="1" ht="16" x14ac:dyDescent="0.2">
      <c r="A87" s="106"/>
      <c r="B87" s="107" t="s">
        <v>303</v>
      </c>
      <c r="C87" s="107" t="s">
        <v>268</v>
      </c>
      <c r="D87" s="68"/>
      <c r="E87" s="68"/>
      <c r="F87" s="108"/>
      <c r="G87" s="74">
        <f t="shared" ref="G87:AL87" si="253">SUM(G72,G85)</f>
        <v>68.95</v>
      </c>
      <c r="H87" s="74">
        <f t="shared" si="253"/>
        <v>53.625</v>
      </c>
      <c r="I87" s="74">
        <f t="shared" si="253"/>
        <v>15.325000000000001</v>
      </c>
      <c r="J87" s="74">
        <f t="shared" si="253"/>
        <v>39.601930555555555</v>
      </c>
      <c r="K87" s="74">
        <f t="shared" si="253"/>
        <v>13.788208333333332</v>
      </c>
      <c r="L87" s="68">
        <f t="shared" si="253"/>
        <v>105960</v>
      </c>
      <c r="M87" s="68">
        <f t="shared" si="253"/>
        <v>74826</v>
      </c>
      <c r="N87" s="68">
        <f t="shared" si="253"/>
        <v>71481.8</v>
      </c>
      <c r="O87" s="68">
        <f t="shared" si="253"/>
        <v>54176.78</v>
      </c>
      <c r="P87" s="68">
        <f t="shared" si="253"/>
        <v>3090.1233333333334</v>
      </c>
      <c r="Q87" s="68">
        <f t="shared" si="253"/>
        <v>3090.1233333333334</v>
      </c>
      <c r="R87" s="68">
        <f t="shared" si="253"/>
        <v>3077.1233333333334</v>
      </c>
      <c r="S87" s="68">
        <f t="shared" si="253"/>
        <v>2955.84</v>
      </c>
      <c r="T87" s="68">
        <f t="shared" si="253"/>
        <v>2955.84</v>
      </c>
      <c r="U87" s="68">
        <f t="shared" si="253"/>
        <v>2955.84</v>
      </c>
      <c r="V87" s="68">
        <f t="shared" si="253"/>
        <v>2872.5066666666671</v>
      </c>
      <c r="W87" s="68">
        <f t="shared" si="253"/>
        <v>2872.5066666666671</v>
      </c>
      <c r="X87" s="68">
        <f t="shared" si="253"/>
        <v>2872.5066666666671</v>
      </c>
      <c r="Y87" s="68">
        <f t="shared" si="253"/>
        <v>2892.4566666666669</v>
      </c>
      <c r="Z87" s="68">
        <f t="shared" si="253"/>
        <v>2892.4566666666669</v>
      </c>
      <c r="AA87" s="68">
        <f t="shared" si="253"/>
        <v>2892.4566666666669</v>
      </c>
      <c r="AB87" s="68">
        <f t="shared" si="253"/>
        <v>35419.78</v>
      </c>
      <c r="AC87" s="68">
        <f t="shared" si="253"/>
        <v>978.83333333333326</v>
      </c>
      <c r="AD87" s="68">
        <f t="shared" si="253"/>
        <v>978.83333333333326</v>
      </c>
      <c r="AE87" s="68">
        <f t="shared" si="253"/>
        <v>978.83333333333326</v>
      </c>
      <c r="AF87" s="68">
        <f t="shared" si="253"/>
        <v>978.83333333333326</v>
      </c>
      <c r="AG87" s="68">
        <f t="shared" si="253"/>
        <v>978.83333333333326</v>
      </c>
      <c r="AH87" s="68">
        <f t="shared" si="253"/>
        <v>978.83333333333326</v>
      </c>
      <c r="AI87" s="68">
        <f t="shared" si="253"/>
        <v>1010.8333333333333</v>
      </c>
      <c r="AJ87" s="68">
        <f t="shared" si="253"/>
        <v>1010.8333333333333</v>
      </c>
      <c r="AK87" s="68">
        <f t="shared" si="253"/>
        <v>1010.8333333333333</v>
      </c>
      <c r="AL87" s="68">
        <f t="shared" si="253"/>
        <v>1010.8333333333333</v>
      </c>
      <c r="AM87" s="68">
        <f t="shared" ref="AM87:BR87" si="254">SUM(AM72,AM85)</f>
        <v>1010.8333333333333</v>
      </c>
      <c r="AN87" s="68">
        <f t="shared" si="254"/>
        <v>1010.8333333333333</v>
      </c>
      <c r="AO87" s="68">
        <f t="shared" si="254"/>
        <v>11938</v>
      </c>
      <c r="AP87" s="68">
        <f t="shared" si="254"/>
        <v>219</v>
      </c>
      <c r="AQ87" s="68">
        <f t="shared" si="254"/>
        <v>219</v>
      </c>
      <c r="AR87" s="68">
        <f t="shared" si="254"/>
        <v>219</v>
      </c>
      <c r="AS87" s="68">
        <f t="shared" si="254"/>
        <v>219</v>
      </c>
      <c r="AT87" s="68">
        <f t="shared" si="254"/>
        <v>219</v>
      </c>
      <c r="AU87" s="68">
        <f t="shared" si="254"/>
        <v>219</v>
      </c>
      <c r="AV87" s="68">
        <f t="shared" si="254"/>
        <v>219</v>
      </c>
      <c r="AW87" s="68">
        <f t="shared" si="254"/>
        <v>219</v>
      </c>
      <c r="AX87" s="68">
        <f t="shared" si="254"/>
        <v>219</v>
      </c>
      <c r="AY87" s="68">
        <f t="shared" si="254"/>
        <v>219</v>
      </c>
      <c r="AZ87" s="68">
        <f t="shared" si="254"/>
        <v>219</v>
      </c>
      <c r="BA87" s="68">
        <f t="shared" si="254"/>
        <v>219</v>
      </c>
      <c r="BB87" s="68">
        <f t="shared" si="254"/>
        <v>2628</v>
      </c>
      <c r="BC87" s="68">
        <f t="shared" si="254"/>
        <v>144</v>
      </c>
      <c r="BD87" s="68">
        <f t="shared" si="254"/>
        <v>144</v>
      </c>
      <c r="BE87" s="68">
        <f t="shared" si="254"/>
        <v>144</v>
      </c>
      <c r="BF87" s="68">
        <f t="shared" si="254"/>
        <v>144</v>
      </c>
      <c r="BG87" s="68">
        <f t="shared" si="254"/>
        <v>144</v>
      </c>
      <c r="BH87" s="68">
        <f t="shared" si="254"/>
        <v>144</v>
      </c>
      <c r="BI87" s="68">
        <f t="shared" si="254"/>
        <v>132</v>
      </c>
      <c r="BJ87" s="68">
        <f t="shared" si="254"/>
        <v>132</v>
      </c>
      <c r="BK87" s="68">
        <f t="shared" si="254"/>
        <v>132</v>
      </c>
      <c r="BL87" s="68">
        <f t="shared" si="254"/>
        <v>132</v>
      </c>
      <c r="BM87" s="68">
        <f t="shared" si="254"/>
        <v>132</v>
      </c>
      <c r="BN87" s="68">
        <f t="shared" si="254"/>
        <v>132</v>
      </c>
      <c r="BO87" s="68">
        <f t="shared" si="254"/>
        <v>1656</v>
      </c>
      <c r="BP87" s="68">
        <f t="shared" si="254"/>
        <v>132.5</v>
      </c>
      <c r="BQ87" s="68">
        <f t="shared" si="254"/>
        <v>132.5</v>
      </c>
      <c r="BR87" s="68">
        <f t="shared" si="254"/>
        <v>132.5</v>
      </c>
      <c r="BS87" s="68">
        <f t="shared" ref="BS87:CX87" si="255">SUM(BS72,BS85)</f>
        <v>132.5</v>
      </c>
      <c r="BT87" s="68">
        <f t="shared" si="255"/>
        <v>132.5</v>
      </c>
      <c r="BU87" s="68">
        <f t="shared" si="255"/>
        <v>132.5</v>
      </c>
      <c r="BV87" s="68">
        <f t="shared" si="255"/>
        <v>132.5</v>
      </c>
      <c r="BW87" s="68">
        <f t="shared" si="255"/>
        <v>132.5</v>
      </c>
      <c r="BX87" s="68">
        <f t="shared" si="255"/>
        <v>132.5</v>
      </c>
      <c r="BY87" s="68">
        <f t="shared" si="255"/>
        <v>132.5</v>
      </c>
      <c r="BZ87" s="68">
        <f t="shared" si="255"/>
        <v>132.5</v>
      </c>
      <c r="CA87" s="68">
        <f t="shared" si="255"/>
        <v>132.5</v>
      </c>
      <c r="CB87" s="68">
        <f t="shared" si="255"/>
        <v>1590</v>
      </c>
      <c r="CC87" s="68">
        <f t="shared" si="255"/>
        <v>118</v>
      </c>
      <c r="CD87" s="68">
        <f t="shared" si="255"/>
        <v>118</v>
      </c>
      <c r="CE87" s="68">
        <f t="shared" si="255"/>
        <v>118</v>
      </c>
      <c r="CF87" s="68">
        <f t="shared" si="255"/>
        <v>101.33333333333334</v>
      </c>
      <c r="CG87" s="68">
        <f t="shared" si="255"/>
        <v>101.33333333333334</v>
      </c>
      <c r="CH87" s="68">
        <f t="shared" si="255"/>
        <v>101.33333333333334</v>
      </c>
      <c r="CI87" s="68">
        <f t="shared" si="255"/>
        <v>85.333333333333329</v>
      </c>
      <c r="CJ87" s="68">
        <f t="shared" si="255"/>
        <v>85.333333333333329</v>
      </c>
      <c r="CK87" s="68">
        <f t="shared" si="255"/>
        <v>85.333333333333329</v>
      </c>
      <c r="CL87" s="68">
        <f t="shared" si="255"/>
        <v>85.333333333333329</v>
      </c>
      <c r="CM87" s="68">
        <f t="shared" si="255"/>
        <v>85.333333333333329</v>
      </c>
      <c r="CN87" s="68">
        <f t="shared" si="255"/>
        <v>85.333333333333329</v>
      </c>
      <c r="CO87" s="68">
        <f t="shared" si="255"/>
        <v>1170</v>
      </c>
      <c r="CP87" s="68">
        <f t="shared" si="255"/>
        <v>19855.020000000004</v>
      </c>
      <c r="CQ87" s="68">
        <f t="shared" si="255"/>
        <v>646.33333333333337</v>
      </c>
      <c r="CR87" s="68">
        <f t="shared" si="255"/>
        <v>646.33333333333337</v>
      </c>
      <c r="CS87" s="68">
        <f t="shared" si="255"/>
        <v>646.33333333333337</v>
      </c>
      <c r="CT87" s="68">
        <f t="shared" si="255"/>
        <v>646.33333333333337</v>
      </c>
      <c r="CU87" s="68">
        <f t="shared" si="255"/>
        <v>646.33333333333337</v>
      </c>
      <c r="CV87" s="68">
        <f t="shared" si="255"/>
        <v>646.33333333333337</v>
      </c>
      <c r="CW87" s="68">
        <f t="shared" si="255"/>
        <v>638.33333333333337</v>
      </c>
      <c r="CX87" s="68">
        <f t="shared" si="255"/>
        <v>638.33333333333337</v>
      </c>
      <c r="CY87" s="68">
        <f t="shared" ref="CY87:ED87" si="256">SUM(CY72,CY85)</f>
        <v>638.33333333333337</v>
      </c>
      <c r="CZ87" s="68">
        <f t="shared" si="256"/>
        <v>638.33333333333337</v>
      </c>
      <c r="DA87" s="68">
        <f t="shared" si="256"/>
        <v>638.33333333333337</v>
      </c>
      <c r="DB87" s="68">
        <f t="shared" si="256"/>
        <v>638.33333333333337</v>
      </c>
      <c r="DC87" s="68">
        <f t="shared" si="256"/>
        <v>7708</v>
      </c>
      <c r="DD87" s="68">
        <f t="shared" si="256"/>
        <v>57.75</v>
      </c>
      <c r="DE87" s="68">
        <f t="shared" si="256"/>
        <v>57.75</v>
      </c>
      <c r="DF87" s="68">
        <f t="shared" si="256"/>
        <v>57.75</v>
      </c>
      <c r="DG87" s="68">
        <f t="shared" si="256"/>
        <v>57.75</v>
      </c>
      <c r="DH87" s="68">
        <f t="shared" si="256"/>
        <v>57.75</v>
      </c>
      <c r="DI87" s="68">
        <f t="shared" si="256"/>
        <v>57.75</v>
      </c>
      <c r="DJ87" s="68">
        <f t="shared" si="256"/>
        <v>57.75</v>
      </c>
      <c r="DK87" s="68">
        <f t="shared" si="256"/>
        <v>57.75</v>
      </c>
      <c r="DL87" s="68">
        <f t="shared" si="256"/>
        <v>57.75</v>
      </c>
      <c r="DM87" s="68">
        <f t="shared" si="256"/>
        <v>57.75</v>
      </c>
      <c r="DN87" s="68">
        <f t="shared" si="256"/>
        <v>57.75</v>
      </c>
      <c r="DO87" s="68">
        <f t="shared" si="256"/>
        <v>57.75</v>
      </c>
      <c r="DP87" s="68">
        <f t="shared" si="256"/>
        <v>693</v>
      </c>
      <c r="DQ87" s="68">
        <f t="shared" si="256"/>
        <v>494.08333333333331</v>
      </c>
      <c r="DR87" s="68">
        <f t="shared" si="256"/>
        <v>494.08333333333331</v>
      </c>
      <c r="DS87" s="68">
        <f t="shared" si="256"/>
        <v>489.83333333333331</v>
      </c>
      <c r="DT87" s="68">
        <f t="shared" si="256"/>
        <v>487.83333333333331</v>
      </c>
      <c r="DU87" s="68">
        <f t="shared" si="256"/>
        <v>487.83333333333331</v>
      </c>
      <c r="DV87" s="68">
        <f t="shared" si="256"/>
        <v>487.83333333333331</v>
      </c>
      <c r="DW87" s="68">
        <f t="shared" si="256"/>
        <v>503.83333333333331</v>
      </c>
      <c r="DX87" s="68">
        <f t="shared" si="256"/>
        <v>503.83333333333331</v>
      </c>
      <c r="DY87" s="68">
        <f t="shared" si="256"/>
        <v>503.83333333333331</v>
      </c>
      <c r="DZ87" s="68">
        <f t="shared" si="256"/>
        <v>503.83333333333331</v>
      </c>
      <c r="EA87" s="68">
        <f t="shared" si="256"/>
        <v>503.83333333333331</v>
      </c>
      <c r="EB87" s="68">
        <f t="shared" si="256"/>
        <v>503.83333333333331</v>
      </c>
      <c r="EC87" s="68">
        <f t="shared" si="256"/>
        <v>5964.5</v>
      </c>
      <c r="ED87" s="68">
        <f t="shared" si="256"/>
        <v>492.46</v>
      </c>
      <c r="EE87" s="68">
        <f t="shared" ref="EE87:EP87" si="257">SUM(EE72,EE85)</f>
        <v>492.46</v>
      </c>
      <c r="EF87" s="68">
        <f t="shared" si="257"/>
        <v>492.46</v>
      </c>
      <c r="EG87" s="68">
        <f t="shared" si="257"/>
        <v>492.46</v>
      </c>
      <c r="EH87" s="68">
        <f t="shared" si="257"/>
        <v>492.46</v>
      </c>
      <c r="EI87" s="68">
        <f t="shared" si="257"/>
        <v>492.46</v>
      </c>
      <c r="EJ87" s="68">
        <f t="shared" si="257"/>
        <v>422.46</v>
      </c>
      <c r="EK87" s="68">
        <f t="shared" si="257"/>
        <v>422.46</v>
      </c>
      <c r="EL87" s="68">
        <f t="shared" si="257"/>
        <v>422.46</v>
      </c>
      <c r="EM87" s="68">
        <f t="shared" si="257"/>
        <v>422.46</v>
      </c>
      <c r="EN87" s="68">
        <f t="shared" si="257"/>
        <v>422.46</v>
      </c>
      <c r="EO87" s="68">
        <f t="shared" si="257"/>
        <v>422.46</v>
      </c>
      <c r="EP87" s="75">
        <f t="shared" si="257"/>
        <v>5489.52</v>
      </c>
    </row>
    <row r="89" spans="1:146" ht="16" x14ac:dyDescent="0.2">
      <c r="A89" s="78"/>
      <c r="B89" s="79" t="s">
        <v>304</v>
      </c>
      <c r="C89" s="79" t="s">
        <v>268</v>
      </c>
      <c r="D89" s="80"/>
      <c r="E89" s="80"/>
      <c r="F89" s="80"/>
      <c r="G89" s="80"/>
      <c r="H89" s="80"/>
      <c r="I89" s="80"/>
      <c r="J89" s="83"/>
      <c r="K89" s="83"/>
      <c r="L89" s="76"/>
      <c r="M89" s="76"/>
      <c r="N89" s="76"/>
      <c r="O89" s="76"/>
      <c r="P89" s="77">
        <f>3222.92-271.25</f>
        <v>2951.67</v>
      </c>
      <c r="Q89" s="77">
        <f>3222.92-245</f>
        <v>2977.92</v>
      </c>
      <c r="R89" s="77">
        <f>3222.92-271.25</f>
        <v>2951.67</v>
      </c>
      <c r="S89" s="77">
        <f>3222.92-262.5</f>
        <v>2960.42</v>
      </c>
      <c r="T89" s="77">
        <f>3222.92-271.25</f>
        <v>2951.67</v>
      </c>
      <c r="U89" s="77">
        <f>3222.92-262.5</f>
        <v>2960.42</v>
      </c>
      <c r="V89" s="77">
        <f>3222.92-271.25</f>
        <v>2951.67</v>
      </c>
      <c r="W89" s="77">
        <f>3222.92-271.25</f>
        <v>2951.67</v>
      </c>
      <c r="X89" s="77">
        <f>3222.92-262.5</f>
        <v>2960.42</v>
      </c>
      <c r="Y89" s="77">
        <f>3222.92-271.25</f>
        <v>2951.67</v>
      </c>
      <c r="Z89" s="77">
        <f>3222.92-262.5</f>
        <v>2960.42</v>
      </c>
      <c r="AA89" s="77">
        <f>3222.92-271.25</f>
        <v>2951.67</v>
      </c>
      <c r="AB89" s="76">
        <f>SUM(P89:AA89)</f>
        <v>35481.289999999994</v>
      </c>
      <c r="AC89" s="76">
        <f>(183.75*52/12)+271.25</f>
        <v>1067.5</v>
      </c>
      <c r="AD89" s="76">
        <f>(183.75*52/12)+245</f>
        <v>1041.25</v>
      </c>
      <c r="AE89" s="76">
        <f>(183.75*52/12)+271.25</f>
        <v>1067.5</v>
      </c>
      <c r="AF89" s="76">
        <f>(183.75*52/12)+262.5</f>
        <v>1058.75</v>
      </c>
      <c r="AG89" s="76">
        <f>(183.75*52/12)+271.25</f>
        <v>1067.5</v>
      </c>
      <c r="AH89" s="76">
        <f>(183.75*52/12)+262.5</f>
        <v>1058.75</v>
      </c>
      <c r="AI89" s="76">
        <f t="shared" ref="AI89:AJ89" si="258">183.75*52/12</f>
        <v>796.25</v>
      </c>
      <c r="AJ89" s="76">
        <f t="shared" si="258"/>
        <v>796.25</v>
      </c>
      <c r="AK89" s="76">
        <f>(183.75*52/12)+262.5</f>
        <v>1058.75</v>
      </c>
      <c r="AL89" s="76">
        <f>(183.75*52/12)+271.25</f>
        <v>1067.5</v>
      </c>
      <c r="AM89" s="76">
        <f>(183.75*52/12)+262.5</f>
        <v>1058.75</v>
      </c>
      <c r="AN89" s="76">
        <f>(183.75*52/12)+271.25</f>
        <v>1067.5</v>
      </c>
      <c r="AO89" s="76">
        <f>SUM(AC89:AN89)</f>
        <v>12206.25</v>
      </c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>
        <v>156</v>
      </c>
      <c r="BD89" s="76">
        <v>156</v>
      </c>
      <c r="BE89" s="76">
        <v>156</v>
      </c>
      <c r="BF89" s="76">
        <v>156</v>
      </c>
      <c r="BG89" s="76">
        <v>156</v>
      </c>
      <c r="BH89" s="76">
        <v>156</v>
      </c>
      <c r="BI89" s="76">
        <v>156</v>
      </c>
      <c r="BJ89" s="76">
        <v>156</v>
      </c>
      <c r="BK89" s="76">
        <v>156</v>
      </c>
      <c r="BL89" s="76">
        <v>156</v>
      </c>
      <c r="BM89" s="76">
        <v>156</v>
      </c>
      <c r="BN89" s="76">
        <v>156</v>
      </c>
      <c r="BO89" s="76">
        <v>1872</v>
      </c>
      <c r="BP89" s="76"/>
      <c r="BQ89" s="76"/>
      <c r="BR89" s="76"/>
      <c r="BS89" s="76"/>
      <c r="BT89" s="76"/>
      <c r="BU89" s="76"/>
      <c r="BV89" s="76"/>
      <c r="BW89" s="76"/>
      <c r="BX89" s="76"/>
      <c r="BY89" s="76"/>
      <c r="BZ89" s="76"/>
      <c r="CA89" s="76"/>
      <c r="CB89" s="76">
        <v>1389</v>
      </c>
      <c r="CC89" s="76"/>
      <c r="CD89" s="76"/>
      <c r="CE89" s="76"/>
      <c r="CF89" s="76"/>
      <c r="CG89" s="76"/>
      <c r="CH89" s="76"/>
      <c r="CI89" s="76"/>
      <c r="CJ89" s="76"/>
      <c r="CK89" s="76"/>
      <c r="CL89" s="76"/>
      <c r="CM89" s="76"/>
      <c r="CN89" s="76"/>
      <c r="CO89" s="76">
        <v>1350</v>
      </c>
      <c r="CP89" s="80"/>
      <c r="CQ89" s="80"/>
      <c r="CR89" s="80"/>
      <c r="CS89" s="80"/>
      <c r="CT89" s="80"/>
      <c r="CU89" s="80"/>
      <c r="CV89" s="80"/>
      <c r="CW89" s="80"/>
      <c r="CX89" s="80"/>
      <c r="CY89" s="80"/>
      <c r="CZ89" s="80"/>
      <c r="DA89" s="80"/>
      <c r="DB89" s="80"/>
      <c r="DC89" s="81"/>
      <c r="DD89" s="80"/>
      <c r="DE89" s="80"/>
      <c r="DF89" s="80"/>
      <c r="DG89" s="80"/>
      <c r="DH89" s="80"/>
      <c r="DI89" s="80"/>
      <c r="DJ89" s="80"/>
      <c r="DK89" s="80"/>
      <c r="DL89" s="80"/>
      <c r="DM89" s="80"/>
      <c r="DN89" s="80"/>
      <c r="DO89" s="80"/>
      <c r="DP89" s="81"/>
      <c r="DQ89" s="80"/>
      <c r="DR89" s="80"/>
      <c r="DS89" s="80"/>
      <c r="DT89" s="80"/>
      <c r="DU89" s="80"/>
      <c r="DV89" s="80"/>
      <c r="DW89" s="80"/>
      <c r="DX89" s="80"/>
      <c r="DY89" s="80"/>
      <c r="DZ89" s="80"/>
      <c r="EA89" s="80"/>
      <c r="EB89" s="80"/>
      <c r="EC89" s="81"/>
      <c r="ED89" s="80"/>
      <c r="EE89" s="80"/>
      <c r="EF89" s="80"/>
      <c r="EG89" s="80"/>
      <c r="EH89" s="80"/>
      <c r="EI89" s="80"/>
      <c r="EJ89" s="80"/>
      <c r="EK89" s="80"/>
      <c r="EL89" s="80"/>
      <c r="EM89" s="80"/>
      <c r="EN89" s="80"/>
      <c r="EO89" s="80"/>
      <c r="EP89" s="82"/>
    </row>
    <row r="91" spans="1:146" s="105" customFormat="1" ht="16" x14ac:dyDescent="0.2">
      <c r="A91" s="99"/>
      <c r="B91" s="100" t="s">
        <v>305</v>
      </c>
      <c r="C91" s="100" t="s">
        <v>306</v>
      </c>
      <c r="D91" s="101"/>
      <c r="E91" s="101"/>
      <c r="F91" s="102"/>
      <c r="G91" s="101"/>
      <c r="H91" s="101"/>
      <c r="I91" s="92"/>
      <c r="J91" s="109"/>
      <c r="K91" s="92"/>
      <c r="L91" s="92"/>
      <c r="M91" s="92"/>
      <c r="N91" s="92"/>
      <c r="O91" s="101"/>
      <c r="P91" s="101">
        <f t="shared" ref="P91:AO91" si="259">P87-P89</f>
        <v>138.45333333333338</v>
      </c>
      <c r="Q91" s="101">
        <f t="shared" si="259"/>
        <v>112.20333333333338</v>
      </c>
      <c r="R91" s="101">
        <f t="shared" si="259"/>
        <v>125.45333333333338</v>
      </c>
      <c r="S91" s="101">
        <f t="shared" si="259"/>
        <v>-4.5799999999999272</v>
      </c>
      <c r="T91" s="101">
        <f t="shared" si="259"/>
        <v>4.1700000000000728</v>
      </c>
      <c r="U91" s="101">
        <f t="shared" si="259"/>
        <v>-4.5799999999999272</v>
      </c>
      <c r="V91" s="101">
        <f t="shared" si="259"/>
        <v>-79.163333333332957</v>
      </c>
      <c r="W91" s="101">
        <f t="shared" si="259"/>
        <v>-79.163333333332957</v>
      </c>
      <c r="X91" s="101">
        <f t="shared" si="259"/>
        <v>-87.913333333332957</v>
      </c>
      <c r="Y91" s="101">
        <f t="shared" si="259"/>
        <v>-59.213333333333139</v>
      </c>
      <c r="Z91" s="101">
        <f t="shared" si="259"/>
        <v>-67.963333333333139</v>
      </c>
      <c r="AA91" s="101">
        <f t="shared" si="259"/>
        <v>-59.213333333333139</v>
      </c>
      <c r="AB91" s="101">
        <f t="shared" si="259"/>
        <v>-61.509999999994761</v>
      </c>
      <c r="AC91" s="101">
        <f t="shared" si="259"/>
        <v>-88.666666666666742</v>
      </c>
      <c r="AD91" s="101">
        <f t="shared" si="259"/>
        <v>-62.416666666666742</v>
      </c>
      <c r="AE91" s="101">
        <f t="shared" si="259"/>
        <v>-88.666666666666742</v>
      </c>
      <c r="AF91" s="101">
        <f t="shared" si="259"/>
        <v>-79.916666666666742</v>
      </c>
      <c r="AG91" s="101">
        <f t="shared" si="259"/>
        <v>-88.666666666666742</v>
      </c>
      <c r="AH91" s="101">
        <f t="shared" si="259"/>
        <v>-79.916666666666742</v>
      </c>
      <c r="AI91" s="101">
        <f t="shared" si="259"/>
        <v>214.58333333333326</v>
      </c>
      <c r="AJ91" s="101">
        <f t="shared" si="259"/>
        <v>214.58333333333326</v>
      </c>
      <c r="AK91" s="101">
        <f t="shared" si="259"/>
        <v>-47.916666666666742</v>
      </c>
      <c r="AL91" s="101">
        <f t="shared" si="259"/>
        <v>-56.666666666666742</v>
      </c>
      <c r="AM91" s="101">
        <f t="shared" si="259"/>
        <v>-47.916666666666742</v>
      </c>
      <c r="AN91" s="101">
        <f t="shared" si="259"/>
        <v>-56.666666666666742</v>
      </c>
      <c r="AO91" s="101">
        <f t="shared" si="259"/>
        <v>-268.25</v>
      </c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92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101">
        <f>BO87-BO89</f>
        <v>-216</v>
      </c>
      <c r="BP91" s="101">
        <f t="shared" ref="BP91:CO91" si="260">BP87-BP89</f>
        <v>132.5</v>
      </c>
      <c r="BQ91" s="101">
        <f t="shared" si="260"/>
        <v>132.5</v>
      </c>
      <c r="BR91" s="101">
        <f t="shared" si="260"/>
        <v>132.5</v>
      </c>
      <c r="BS91" s="101">
        <f t="shared" si="260"/>
        <v>132.5</v>
      </c>
      <c r="BT91" s="101">
        <f t="shared" si="260"/>
        <v>132.5</v>
      </c>
      <c r="BU91" s="101">
        <f t="shared" si="260"/>
        <v>132.5</v>
      </c>
      <c r="BV91" s="101">
        <f t="shared" si="260"/>
        <v>132.5</v>
      </c>
      <c r="BW91" s="101">
        <f t="shared" si="260"/>
        <v>132.5</v>
      </c>
      <c r="BX91" s="101">
        <f t="shared" si="260"/>
        <v>132.5</v>
      </c>
      <c r="BY91" s="101">
        <f t="shared" si="260"/>
        <v>132.5</v>
      </c>
      <c r="BZ91" s="101">
        <f t="shared" si="260"/>
        <v>132.5</v>
      </c>
      <c r="CA91" s="101">
        <f t="shared" si="260"/>
        <v>132.5</v>
      </c>
      <c r="CB91" s="101">
        <f t="shared" si="260"/>
        <v>201</v>
      </c>
      <c r="CC91" s="101">
        <f t="shared" si="260"/>
        <v>118</v>
      </c>
      <c r="CD91" s="101">
        <f t="shared" si="260"/>
        <v>118</v>
      </c>
      <c r="CE91" s="101">
        <f t="shared" si="260"/>
        <v>118</v>
      </c>
      <c r="CF91" s="101">
        <f t="shared" si="260"/>
        <v>101.33333333333334</v>
      </c>
      <c r="CG91" s="101">
        <f t="shared" si="260"/>
        <v>101.33333333333334</v>
      </c>
      <c r="CH91" s="101">
        <f t="shared" si="260"/>
        <v>101.33333333333334</v>
      </c>
      <c r="CI91" s="101">
        <f t="shared" si="260"/>
        <v>85.333333333333329</v>
      </c>
      <c r="CJ91" s="101">
        <f t="shared" si="260"/>
        <v>85.333333333333329</v>
      </c>
      <c r="CK91" s="101">
        <f t="shared" si="260"/>
        <v>85.333333333333329</v>
      </c>
      <c r="CL91" s="101">
        <f t="shared" si="260"/>
        <v>85.333333333333329</v>
      </c>
      <c r="CM91" s="101">
        <f t="shared" si="260"/>
        <v>85.333333333333329</v>
      </c>
      <c r="CN91" s="101">
        <f t="shared" si="260"/>
        <v>85.333333333333329</v>
      </c>
      <c r="CO91" s="101">
        <f t="shared" si="260"/>
        <v>-180</v>
      </c>
      <c r="CP91" s="92"/>
      <c r="CQ91" s="101"/>
      <c r="CR91" s="101"/>
      <c r="CS91" s="101"/>
      <c r="CT91" s="101"/>
      <c r="CU91" s="101"/>
      <c r="CV91" s="101"/>
      <c r="CW91" s="101"/>
      <c r="CX91" s="101"/>
      <c r="CY91" s="101"/>
      <c r="CZ91" s="101"/>
      <c r="DA91" s="101"/>
      <c r="DB91" s="101"/>
      <c r="DC91" s="103"/>
      <c r="DD91" s="92"/>
      <c r="DE91" s="92"/>
      <c r="DF91" s="92"/>
      <c r="DG91" s="92"/>
      <c r="DH91" s="92"/>
      <c r="DI91" s="92"/>
      <c r="DJ91" s="92"/>
      <c r="DK91" s="92"/>
      <c r="DL91" s="92"/>
      <c r="DM91" s="92"/>
      <c r="DN91" s="92"/>
      <c r="DO91" s="92"/>
      <c r="DP91" s="103"/>
      <c r="DQ91" s="101"/>
      <c r="DR91" s="101"/>
      <c r="DS91" s="101"/>
      <c r="DT91" s="101"/>
      <c r="DU91" s="101"/>
      <c r="DV91" s="101"/>
      <c r="DW91" s="101"/>
      <c r="DX91" s="101"/>
      <c r="DY91" s="101"/>
      <c r="DZ91" s="101"/>
      <c r="EA91" s="101"/>
      <c r="EB91" s="101"/>
      <c r="EC91" s="103"/>
      <c r="ED91" s="101"/>
      <c r="EE91" s="101"/>
      <c r="EF91" s="101"/>
      <c r="EG91" s="101"/>
      <c r="EH91" s="101"/>
      <c r="EI91" s="101"/>
      <c r="EJ91" s="101"/>
      <c r="EK91" s="101"/>
      <c r="EL91" s="101"/>
      <c r="EM91" s="101"/>
      <c r="EN91" s="101"/>
      <c r="EO91" s="101"/>
      <c r="EP91" s="104"/>
    </row>
    <row r="93" spans="1:146" ht="16" x14ac:dyDescent="0.2">
      <c r="A93" s="85"/>
      <c r="B93" s="86" t="s">
        <v>6</v>
      </c>
      <c r="C93" s="86" t="s">
        <v>306</v>
      </c>
      <c r="D93" s="87"/>
      <c r="E93" s="87"/>
      <c r="F93" s="88"/>
      <c r="G93" s="89"/>
      <c r="H93" s="89"/>
      <c r="I93" s="90"/>
      <c r="J93" s="89"/>
      <c r="K93" s="91"/>
      <c r="L93" s="92"/>
      <c r="M93" s="92"/>
      <c r="N93" s="92"/>
      <c r="O93" s="92"/>
      <c r="P93" s="98">
        <f>P91/1440</f>
        <v>9.6148148148148177E-2</v>
      </c>
      <c r="Q93" s="98">
        <f t="shared" ref="Q93:AN93" si="261">Q91/1440</f>
        <v>7.7918981481481506E-2</v>
      </c>
      <c r="R93" s="98">
        <f t="shared" si="261"/>
        <v>8.7120370370370404E-2</v>
      </c>
      <c r="S93" s="98">
        <f t="shared" si="261"/>
        <v>-3.1805555555555051E-3</v>
      </c>
      <c r="T93" s="98">
        <f t="shared" si="261"/>
        <v>2.8958333333333839E-3</v>
      </c>
      <c r="U93" s="98">
        <f t="shared" si="261"/>
        <v>-3.1805555555555051E-3</v>
      </c>
      <c r="V93" s="98">
        <f t="shared" si="261"/>
        <v>-5.4974537037036773E-2</v>
      </c>
      <c r="W93" s="98">
        <f t="shared" si="261"/>
        <v>-5.4974537037036773E-2</v>
      </c>
      <c r="X93" s="98">
        <f t="shared" si="261"/>
        <v>-6.1050925925925661E-2</v>
      </c>
      <c r="Y93" s="98">
        <f t="shared" si="261"/>
        <v>-4.1120370370370238E-2</v>
      </c>
      <c r="Z93" s="98">
        <f t="shared" si="261"/>
        <v>-4.7196759259259126E-2</v>
      </c>
      <c r="AA93" s="98">
        <f t="shared" si="261"/>
        <v>-4.1120370370370238E-2</v>
      </c>
      <c r="AB93" s="98">
        <f t="shared" si="261"/>
        <v>-4.271527777777414E-2</v>
      </c>
      <c r="AC93" s="98">
        <f t="shared" si="261"/>
        <v>-6.1574074074074128E-2</v>
      </c>
      <c r="AD93" s="98">
        <f t="shared" si="261"/>
        <v>-4.3344907407407457E-2</v>
      </c>
      <c r="AE93" s="98">
        <f t="shared" si="261"/>
        <v>-6.1574074074074128E-2</v>
      </c>
      <c r="AF93" s="98">
        <f t="shared" si="261"/>
        <v>-5.549768518518524E-2</v>
      </c>
      <c r="AG93" s="98">
        <f t="shared" si="261"/>
        <v>-6.1574074074074128E-2</v>
      </c>
      <c r="AH93" s="98">
        <f t="shared" si="261"/>
        <v>-5.549768518518524E-2</v>
      </c>
      <c r="AI93" s="98">
        <f t="shared" si="261"/>
        <v>0.14901620370370366</v>
      </c>
      <c r="AJ93" s="98">
        <f t="shared" si="261"/>
        <v>0.14901620370370366</v>
      </c>
      <c r="AK93" s="98">
        <f t="shared" si="261"/>
        <v>-3.3275462962963014E-2</v>
      </c>
      <c r="AL93" s="98">
        <f t="shared" si="261"/>
        <v>-3.9351851851851902E-2</v>
      </c>
      <c r="AM93" s="98">
        <f t="shared" si="261"/>
        <v>-3.3275462962963014E-2</v>
      </c>
      <c r="AN93" s="98">
        <f t="shared" si="261"/>
        <v>-3.9351851851851902E-2</v>
      </c>
      <c r="AO93" s="98">
        <f t="shared" ref="AO93" si="262">AO91/1440</f>
        <v>-0.18628472222222223</v>
      </c>
      <c r="AP93" s="89"/>
      <c r="AQ93" s="89"/>
      <c r="AR93" s="89"/>
      <c r="AS93" s="89"/>
      <c r="AT93" s="89"/>
      <c r="AU93" s="89"/>
      <c r="AV93" s="89"/>
      <c r="AW93" s="89"/>
      <c r="AX93" s="89"/>
      <c r="AY93" s="89"/>
      <c r="AZ93" s="89"/>
      <c r="BA93" s="89"/>
      <c r="BB93" s="93"/>
      <c r="BC93" s="89"/>
      <c r="BD93" s="89"/>
      <c r="BE93" s="89"/>
      <c r="BF93" s="89"/>
      <c r="BG93" s="89"/>
      <c r="BH93" s="89"/>
      <c r="BI93" s="89"/>
      <c r="BJ93" s="89"/>
      <c r="BK93" s="89"/>
      <c r="BL93" s="89"/>
      <c r="BM93" s="89"/>
      <c r="BN93" s="89"/>
      <c r="BO93" s="93"/>
      <c r="BP93" s="89"/>
      <c r="BQ93" s="89"/>
      <c r="BR93" s="89"/>
      <c r="BS93" s="89"/>
      <c r="BT93" s="89"/>
      <c r="BU93" s="89"/>
      <c r="BV93" s="89"/>
      <c r="BW93" s="89"/>
      <c r="BX93" s="89"/>
      <c r="BY93" s="89"/>
      <c r="BZ93" s="89"/>
      <c r="CA93" s="89"/>
      <c r="CB93" s="93"/>
      <c r="CC93" s="89"/>
      <c r="CD93" s="89"/>
      <c r="CE93" s="89"/>
      <c r="CF93" s="89"/>
      <c r="CG93" s="89"/>
      <c r="CH93" s="89"/>
      <c r="CI93" s="89"/>
      <c r="CJ93" s="89"/>
      <c r="CK93" s="89"/>
      <c r="CL93" s="89"/>
      <c r="CM93" s="89"/>
      <c r="CN93" s="89"/>
      <c r="CO93" s="92"/>
      <c r="CP93" s="93"/>
      <c r="CQ93" s="89"/>
      <c r="CR93" s="89"/>
      <c r="CS93" s="89"/>
      <c r="CT93" s="89"/>
      <c r="CU93" s="89"/>
      <c r="CV93" s="89"/>
      <c r="CW93" s="89"/>
      <c r="CX93" s="89"/>
      <c r="CY93" s="89"/>
      <c r="CZ93" s="89"/>
      <c r="DA93" s="89"/>
      <c r="DB93" s="89"/>
      <c r="DC93" s="94"/>
      <c r="DD93" s="95"/>
      <c r="DE93" s="95"/>
      <c r="DF93" s="95"/>
      <c r="DG93" s="95"/>
      <c r="DH93" s="95"/>
      <c r="DI93" s="95"/>
      <c r="DJ93" s="95"/>
      <c r="DK93" s="95"/>
      <c r="DL93" s="95"/>
      <c r="DM93" s="95"/>
      <c r="DN93" s="95"/>
      <c r="DO93" s="95"/>
      <c r="DP93" s="96"/>
      <c r="DQ93" s="89"/>
      <c r="DR93" s="89"/>
      <c r="DS93" s="89"/>
      <c r="DT93" s="89"/>
      <c r="DU93" s="89"/>
      <c r="DV93" s="89"/>
      <c r="DW93" s="89"/>
      <c r="DX93" s="89"/>
      <c r="DY93" s="89"/>
      <c r="DZ93" s="89"/>
      <c r="EA93" s="89"/>
      <c r="EB93" s="89"/>
      <c r="EC93" s="96"/>
      <c r="ED93" s="89"/>
      <c r="EE93" s="89"/>
      <c r="EF93" s="89"/>
      <c r="EG93" s="89"/>
      <c r="EH93" s="89"/>
      <c r="EI93" s="89"/>
      <c r="EJ93" s="89"/>
      <c r="EK93" s="89"/>
      <c r="EL93" s="89"/>
      <c r="EM93" s="89"/>
      <c r="EN93" s="89"/>
      <c r="EO93" s="89"/>
      <c r="EP93" s="97"/>
    </row>
  </sheetData>
  <sortState xmlns:xlrd2="http://schemas.microsoft.com/office/spreadsheetml/2017/richdata2" ref="A2:EP70">
    <sortCondition ref="B2"/>
  </sortState>
  <conditionalFormatting sqref="G91:EP91">
    <cfRule type="cellIs" dxfId="4" priority="5" operator="greaterThan">
      <formula>0</formula>
    </cfRule>
    <cfRule type="cellIs" dxfId="3" priority="6" operator="lessThan">
      <formula>0</formula>
    </cfRule>
  </conditionalFormatting>
  <conditionalFormatting sqref="N2:N70 N74:N83">
    <cfRule type="expression" dxfId="2" priority="7">
      <formula>ABS(M2-N2)&lt;=1</formula>
    </cfRule>
  </conditionalFormatting>
  <conditionalFormatting sqref="P93:AO93">
    <cfRule type="cellIs" dxfId="1" priority="3" operator="lessThan">
      <formula>0</formula>
    </cfRule>
  </conditionalFormatting>
  <conditionalFormatting sqref="AB93:AO93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88DBE658777489928825A05D58E82" ma:contentTypeVersion="3" ma:contentTypeDescription="Create a new document." ma:contentTypeScope="" ma:versionID="77ef2ac5177a35f70ee658579abffab7">
  <xsd:schema xmlns:xsd="http://www.w3.org/2001/XMLSchema" xmlns:xs="http://www.w3.org/2001/XMLSchema" xmlns:p="http://schemas.microsoft.com/office/2006/metadata/properties" xmlns:ns2="46d5ae28-ab3e-4edf-91ad-a1f2aa9c42d5" targetNamespace="http://schemas.microsoft.com/office/2006/metadata/properties" ma:root="true" ma:fieldsID="a9dbc8b09ffe22a380bf3f3e957d521a" ns2:_="">
    <xsd:import namespace="46d5ae28-ab3e-4edf-91ad-a1f2aa9c42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d5ae28-ab3e-4edf-91ad-a1f2aa9c42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E7E8D7-86A4-4B4D-8A95-3AF386A695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CABE11-9F12-4901-B522-7029B7E2379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B9FFAC8-F243-4648-8270-720DEE954C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d5ae28-ab3e-4edf-91ad-a1f2aa9c42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 Staffing Grid</vt:lpstr>
    </vt:vector>
  </TitlesOfParts>
  <Manager/>
  <Company>The Mount Sinai Hospital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Nagata, Christopher</dc:creator>
  <cp:keywords/>
  <dc:description/>
  <cp:lastModifiedBy>Adam Munday</cp:lastModifiedBy>
  <cp:revision/>
  <dcterms:created xsi:type="dcterms:W3CDTF">2026-02-26T15:36:23Z</dcterms:created>
  <dcterms:modified xsi:type="dcterms:W3CDTF">2026-05-26T01:08:51Z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0x010100A7D88DBE658777489928825A05D58E82</vt:lpwstr>
  </property>
</Properties>
</file>